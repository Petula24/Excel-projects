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11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2072\OneDrive\Plocha\Knihovna\"/>
    </mc:Choice>
  </mc:AlternateContent>
  <xr:revisionPtr revIDLastSave="0" documentId="13_ncr:1_{E2B337EF-6D28-4B48-8171-5A52AA826C6D}" xr6:coauthVersionLast="47" xr6:coauthVersionMax="47" xr10:uidLastSave="{00000000-0000-0000-0000-000000000000}"/>
  <bookViews>
    <workbookView xWindow="-120" yWindow="-120" windowWidth="21840" windowHeight="13020" xr2:uid="{95426F7D-B9F6-4A29-AB12-7BB3D553CF5F}"/>
  </bookViews>
  <sheets>
    <sheet name="Úkol 1" sheetId="1" r:id="rId1"/>
    <sheet name="Úkol 2" sheetId="4" r:id="rId2"/>
    <sheet name="Úkol 3" sheetId="3" r:id="rId3"/>
    <sheet name="Úkol 4" sheetId="5" r:id="rId4"/>
    <sheet name="Úkol 5" sheetId="6" r:id="rId5"/>
    <sheet name="Úkol 6" sheetId="8" r:id="rId6"/>
    <sheet name="Úkol 7" sheetId="9" r:id="rId7"/>
    <sheet name="Úkol 8" sheetId="10" r:id="rId8"/>
    <sheet name="Úkol 9" sheetId="11" r:id="rId9"/>
    <sheet name="Úkol 10" sheetId="14" r:id="rId10"/>
    <sheet name="Úkol 11" sheetId="12" r:id="rId11"/>
    <sheet name="Úkol 12" sheetId="15" r:id="rId12"/>
  </sheets>
  <definedNames>
    <definedName name="_xlnm._FilterDatabase" localSheetId="10" hidden="1">'Úkol 11'!$A$16:$D$541</definedName>
    <definedName name="_xlnm._FilterDatabase" localSheetId="1" hidden="1">'Úkol 2'!$B$2:$C$2</definedName>
    <definedName name="_xlnm._FilterDatabase" localSheetId="2" hidden="1">'Úkol 3'!$B$2:$E$32</definedName>
    <definedName name="_xlnm._FilterDatabase" localSheetId="3" hidden="1">'Úkol 4'!$B$2:$C$2</definedName>
    <definedName name="_xlnm._FilterDatabase" localSheetId="7" hidden="1">'Úkol 8'!$B$7:$C$7</definedName>
    <definedName name="_xlnm._FilterDatabase" localSheetId="8" hidden="1">'Úkol 9'!$B$7:$C$7</definedName>
    <definedName name="ExternalData_1" localSheetId="11" hidden="1">'Úkol 12'!$J$8:$O$33</definedName>
    <definedName name="Průřez_Měsíc">#N/A</definedName>
  </definedNames>
  <calcPr calcId="191029"/>
  <pivotCaches>
    <pivotCache cacheId="0" r:id="rId13"/>
  </pivotCaches>
  <extLs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nance_0fe3f883-22cd-42c0-99c6-7094c4d51e0a" name="Finance" connection="Dotaz – Finance"/>
          <x15:modelTable id="HR_60a5d93b-86b8-4daa-9744-8d3b374f92ea" name="HR" connection="Dotaz – HR"/>
          <x15:modelTable id="Prodej_3861f059-7aaf-4527-9306-69ee6c21da29" name="Prodej" connection="Dotaz – Prodej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5" l="1"/>
  <c r="F12" i="5"/>
  <c r="F13" i="5"/>
  <c r="F14" i="5"/>
  <c r="F15" i="5"/>
  <c r="F16" i="5"/>
  <c r="F17" i="5"/>
  <c r="F18" i="5"/>
  <c r="F19" i="5"/>
  <c r="F20" i="5"/>
  <c r="F10" i="5"/>
  <c r="I3" i="3"/>
  <c r="G3" i="3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" i="4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06A002-0731-487B-87FE-B5B3C84EC88A}" name="Dotaz – Finance" description="Připojení k dotazu produktu Finance v sešitě" type="100" refreshedVersion="8" minRefreshableVersion="5">
    <extLst>
      <ext xmlns:x15="http://schemas.microsoft.com/office/spreadsheetml/2010/11/main" uri="{DE250136-89BD-433C-8126-D09CA5730AF9}">
        <x15:connection id="085b12da-9155-40a2-b5d8-2c48475181cd">
          <x15:oledbPr connection="Provider=Microsoft.Mashup.OleDb.1;Data Source=$Workbook$;Location=Finance;Extended Properties=&quot;&quot;">
            <x15:dbTables>
              <x15:dbTable name="Finance"/>
            </x15:dbTables>
          </x15:oledbPr>
        </x15:connection>
      </ext>
    </extLst>
  </connection>
  <connection id="2" xr16:uid="{543238ED-7463-4E86-8CD6-D2431D61DC24}" name="Dotaz – HR" description="Připojení k dotazu produktu HR v sešitě" type="100" refreshedVersion="8" minRefreshableVersion="5">
    <extLst>
      <ext xmlns:x15="http://schemas.microsoft.com/office/spreadsheetml/2010/11/main" uri="{DE250136-89BD-433C-8126-D09CA5730AF9}">
        <x15:connection id="9fb7eacb-95c7-45e0-8f4c-01b1703beaac">
          <x15:oledbPr connection="Provider=Microsoft.Mashup.OleDb.1;Data Source=$Workbook$;Location=HR;Extended Properties=&quot;&quot;">
            <x15:dbTables>
              <x15:dbTable name="HR"/>
            </x15:dbTables>
          </x15:oledbPr>
        </x15:connection>
      </ext>
    </extLst>
  </connection>
  <connection id="3" xr16:uid="{295D4380-45CB-428E-8046-30F252BC96D8}" name="Dotaz – Prodej" description="Připojení k dotazu produktu Prodej v sešitě" type="100" refreshedVersion="8" minRefreshableVersion="5">
    <extLst>
      <ext xmlns:x15="http://schemas.microsoft.com/office/spreadsheetml/2010/11/main" uri="{DE250136-89BD-433C-8126-D09CA5730AF9}">
        <x15:connection id="50f2e8ed-328f-43bb-855e-df88292f64af">
          <x15:oledbPr connection="Provider=Microsoft.Mashup.OleDb.1;Data Source=$Workbook$;Location=Prodej;Extended Properties=&quot;&quot;">
            <x15:dbTables>
              <x15:dbTable name="Prodej"/>
            </x15:dbTables>
          </x15:oledbPr>
        </x15:connection>
      </ext>
    </extLst>
  </connection>
  <connection id="4" xr16:uid="{69543AE0-E6FC-42FB-B735-1AB3D9F1FB0B}" keepAlive="1" name="Dotaz – Souhrn" description="Připojení k dotazu produktu Souhrn v sešitě" type="5" refreshedVersion="8" background="1" saveData="1">
    <dbPr connection="Provider=Microsoft.Mashup.OleDb.1;Data Source=$Workbook$;Location=Souhrn;Extended Properties=&quot;&quot;" command="SELECT * FROM [Souhrn]"/>
  </connection>
  <connection id="5" xr16:uid="{FAEC7573-9EFE-46D4-97CD-3C01A77F75DE}" keepAlive="1" name="ThisWorkbookDataModel" description="Datový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<sst xmlns="http://schemas.openxmlformats.org/spreadsheetml/2006/main" count="3942" uniqueCount="384">
  <si>
    <t>Jan Novák</t>
  </si>
  <si>
    <t>Petra Svobodová</t>
  </si>
  <si>
    <t>Tomáš Dvořák</t>
  </si>
  <si>
    <t>Veronika Novotná</t>
  </si>
  <si>
    <t>Jakub Malý</t>
  </si>
  <si>
    <t>Lucie Černá</t>
  </si>
  <si>
    <t>Ondřej Procházka</t>
  </si>
  <si>
    <t>Martina Kovářová</t>
  </si>
  <si>
    <t>David Horák</t>
  </si>
  <si>
    <t>Tereza Veselá</t>
  </si>
  <si>
    <t>Lukáš Král</t>
  </si>
  <si>
    <t>Anna Pokorná</t>
  </si>
  <si>
    <t>Filip Kříž</t>
  </si>
  <si>
    <t>Kateřina Vávrová</t>
  </si>
  <si>
    <t>Marek Beneš</t>
  </si>
  <si>
    <t>Eva Bláhová</t>
  </si>
  <si>
    <t>Adam Holý</t>
  </si>
  <si>
    <t>Jana Krejčí</t>
  </si>
  <si>
    <t>Šimon Martínek</t>
  </si>
  <si>
    <t>Klára Fialová</t>
  </si>
  <si>
    <t>Michal Kolář</t>
  </si>
  <si>
    <t>Pavlína Sedláčková</t>
  </si>
  <si>
    <t>Vojtěch Soukup</t>
  </si>
  <si>
    <t>Barbora Růžičková</t>
  </si>
  <si>
    <t>Martin Hruška</t>
  </si>
  <si>
    <t>Eliška Zelenková</t>
  </si>
  <si>
    <t>Daniel Šimek</t>
  </si>
  <si>
    <t>Kristýna Matějková</t>
  </si>
  <si>
    <t>Radek Urban</t>
  </si>
  <si>
    <t>Ivana Jandová</t>
  </si>
  <si>
    <t>Test 1</t>
  </si>
  <si>
    <t>Test 2</t>
  </si>
  <si>
    <t>Test 3</t>
  </si>
  <si>
    <t>Prospěl/a?</t>
  </si>
  <si>
    <t>Student/ka</t>
  </si>
  <si>
    <t>Pohlaví</t>
  </si>
  <si>
    <t>Třída</t>
  </si>
  <si>
    <t>Výsledek testu</t>
  </si>
  <si>
    <t>muž</t>
  </si>
  <si>
    <t>žena</t>
  </si>
  <si>
    <t>A</t>
  </si>
  <si>
    <t>B</t>
  </si>
  <si>
    <t>Test</t>
  </si>
  <si>
    <t>Známka</t>
  </si>
  <si>
    <t>Kritéria</t>
  </si>
  <si>
    <t>90 a více bodů</t>
  </si>
  <si>
    <t>80-89 bodů</t>
  </si>
  <si>
    <t>70-79 bodů</t>
  </si>
  <si>
    <t>60-69 bodů</t>
  </si>
  <si>
    <t>méně než 60 bodů</t>
  </si>
  <si>
    <t>C</t>
  </si>
  <si>
    <t>D</t>
  </si>
  <si>
    <t>E</t>
  </si>
  <si>
    <t>ID</t>
  </si>
  <si>
    <t>petr.kucera@firma.cz</t>
  </si>
  <si>
    <t>simona.nemcova@firma.cz</t>
  </si>
  <si>
    <t>roman.sykora@firma.cz</t>
  </si>
  <si>
    <t>alena.hlavacova@firma.cz</t>
  </si>
  <si>
    <t>dominik.tichy@firma.cz</t>
  </si>
  <si>
    <t>zuzana.pospisilova@firma.cz</t>
  </si>
  <si>
    <t>radim.kuzel@firma.cz</t>
  </si>
  <si>
    <t>monika.rihova@firma.cz</t>
  </si>
  <si>
    <t>pavel.marek@firma.cz</t>
  </si>
  <si>
    <t>irena.konecna@firma.cz</t>
  </si>
  <si>
    <t>patrik.bartos@firma.cz</t>
  </si>
  <si>
    <t>lenka.kralova@firma.cz</t>
  </si>
  <si>
    <t>karel.valenta@firma.cz</t>
  </si>
  <si>
    <t>marketa.dohnalova@firma.cz</t>
  </si>
  <si>
    <t>jiri.stepanek@firma.cz</t>
  </si>
  <si>
    <t>jana.reznickova@firma.cz</t>
  </si>
  <si>
    <t>zdenek.burian@firma.cz</t>
  </si>
  <si>
    <t>kristyna.kasparova@firma.cz</t>
  </si>
  <si>
    <t>ales.zeman@firma.cz</t>
  </si>
  <si>
    <t>nikola.vrbova@firma.cz</t>
  </si>
  <si>
    <t>radek.polak@firma.cz</t>
  </si>
  <si>
    <t>gabriela.horka@firma.cz</t>
  </si>
  <si>
    <t>milan.korinek@firma.cz</t>
  </si>
  <si>
    <t>michaela.vackova@firma.cz</t>
  </si>
  <si>
    <t>vaclav.hajek@firma.cz</t>
  </si>
  <si>
    <t>Jméno</t>
  </si>
  <si>
    <t>Email</t>
  </si>
  <si>
    <t>Michaela Veselá,Masarykova 12,60200,Brno,Česká republika</t>
  </si>
  <si>
    <t>Tomáš Havel,Václavské náměstí 38,11000,Praha,Česká republika</t>
  </si>
  <si>
    <t>Lucie Fousková,Zelný trh 5,77900,Olomouc,Česká republika</t>
  </si>
  <si>
    <t>Filip Navrátil,Kounicova 42,61200,Brno,Česká republika</t>
  </si>
  <si>
    <t>Tereza Machová,Česká 21,37001,České Budějovice,Česká republika</t>
  </si>
  <si>
    <t>Jan Beránek,Tyršova 58,46001,Liberec,Česká republika</t>
  </si>
  <si>
    <t>Veronika Kratochvílová,Na Příkopě 17,11000,Praha,Česká republika</t>
  </si>
  <si>
    <t>David Štěpán,Smetanova 33,40001,Ústí nad Labem,Česká republika</t>
  </si>
  <si>
    <t>Pavla Švecová,Hlavní třída 100,70200,Ostrava,Česká republika</t>
  </si>
  <si>
    <t>Karel Dvořák,Tř. Kpt. Jaroše 10,60200,Brno,Česká republika</t>
  </si>
  <si>
    <t>Adéla Bartošová,Riegrova 22,70200,Ostrava,Česká republika</t>
  </si>
  <si>
    <t>Vojtěch Kopecký,Lidická 45,61200,Brno,Česká republika</t>
  </si>
  <si>
    <t>Nikola Dlouhá,Husova 32,11000,Praha,Česká republika</t>
  </si>
  <si>
    <t>Matěj Kovář,Dukelská 11,77900,Olomouc,Česká republika</t>
  </si>
  <si>
    <t>Alena Urbanová,Štefánikova 8,37001,České Budějovice,Česká republika</t>
  </si>
  <si>
    <t>Petr Černý,U Hřbitova 6,46001,Liberec,Česká republika</t>
  </si>
  <si>
    <t>Markéta Zajícová,Táborská 25,40001,Ústí nad Labem,Česká republika</t>
  </si>
  <si>
    <t>Šimon Kučera,Fügnerova 20,70200,Ostrava,Česká republika</t>
  </si>
  <si>
    <t>Ivana Šimková,Trnkova 18,11000,Praha,Česká republika</t>
  </si>
  <si>
    <t>Milan Růžička,Nádražní 50,60200,Brno,Česká republika</t>
  </si>
  <si>
    <t>Jana Benešová,Mlýnská 14,77900,Olomouc,Česká republika</t>
  </si>
  <si>
    <t>Radek Novotný,Jungmannova 39,61200,Brno,Česká republika</t>
  </si>
  <si>
    <t>Eliška Holubová,Prokopova 17,37001,České Budějovice,Česká republika</t>
  </si>
  <si>
    <t>Roman Vaňek,Komenského 44,46001,Liberec,Česká republika</t>
  </si>
  <si>
    <t>Kristýna Světlíková,Vrchlického 3,40001,Ústí nad Labem,Česká republika</t>
  </si>
  <si>
    <t>Lukáš Pilař,Palackého 12,11000,Praha,Česká republika</t>
  </si>
  <si>
    <t>Gabriela Červenková,Nerudova 28,60200,Brno,Česká republika</t>
  </si>
  <si>
    <t>Ulice a ČP</t>
  </si>
  <si>
    <t>PSČ</t>
  </si>
  <si>
    <t>Město</t>
  </si>
  <si>
    <t>Stát</t>
  </si>
  <si>
    <t>Zaměstnanec</t>
  </si>
  <si>
    <t>Pracovní úvazek</t>
  </si>
  <si>
    <t>ID zaměstnance</t>
  </si>
  <si>
    <t>Odpracované hodiny</t>
  </si>
  <si>
    <t>petr.kucera@techzone.cz</t>
  </si>
  <si>
    <t>simona.nemcova@websolutions.cz</t>
  </si>
  <si>
    <t>roman.sykora@softmedia.cz</t>
  </si>
  <si>
    <t>alena.hlavacova@greenpower.cz</t>
  </si>
  <si>
    <t>dominik.tichy@innovatech.cz</t>
  </si>
  <si>
    <t>zuzana.pospisilova@medipoint.cz</t>
  </si>
  <si>
    <t>radim.kuzel@marketvision.cz</t>
  </si>
  <si>
    <t>monika.rihova@homecare.cz</t>
  </si>
  <si>
    <t>pavel.marek@citybuild.cz</t>
  </si>
  <si>
    <t>irena.konecna@biotime.cz</t>
  </si>
  <si>
    <t>patrik.bartos@smartline.cz</t>
  </si>
  <si>
    <t>lenka.kralova@futuretech.cz</t>
  </si>
  <si>
    <t>karel.valenta@globaltraders.cz</t>
  </si>
  <si>
    <t>marketa.dohnalova@digitron.cz</t>
  </si>
  <si>
    <t>jiri.stepanek@agrisolutions.cz</t>
  </si>
  <si>
    <t>jana.reznickova@securedata.cz</t>
  </si>
  <si>
    <t>zdenek.burian@energysystem.cz</t>
  </si>
  <si>
    <t>kristyna.kasparova@healthfirst.cz</t>
  </si>
  <si>
    <t>ales.zeman@fintechpro.cz</t>
  </si>
  <si>
    <t>nikola.vrbova@techstyle.cz</t>
  </si>
  <si>
    <t>radek.polak@ecoclean.cz</t>
  </si>
  <si>
    <t>gabriela.horka@artvision.cz</t>
  </si>
  <si>
    <t>milan.korinek@powerup.cz</t>
  </si>
  <si>
    <t>Datum</t>
  </si>
  <si>
    <t>Příjmení</t>
  </si>
  <si>
    <t>Rok</t>
  </si>
  <si>
    <t>Měsíc</t>
  </si>
  <si>
    <t>Den</t>
  </si>
  <si>
    <t>Simona</t>
  </si>
  <si>
    <t>Nemcova</t>
  </si>
  <si>
    <t>Leden</t>
  </si>
  <si>
    <t>Websolutions</t>
  </si>
  <si>
    <t>Jana</t>
  </si>
  <si>
    <t>Petr</t>
  </si>
  <si>
    <t>Alena</t>
  </si>
  <si>
    <t>Společnost</t>
  </si>
  <si>
    <t>Email zákazníka</t>
  </si>
  <si>
    <t>Součet</t>
  </si>
  <si>
    <t>Minimum</t>
  </si>
  <si>
    <t>Zboží</t>
  </si>
  <si>
    <t>Kategorie zboží</t>
  </si>
  <si>
    <t>Zisk</t>
  </si>
  <si>
    <t>Sada zahradního nářadí</t>
  </si>
  <si>
    <t>Zahradní nářadí a potřeby</t>
  </si>
  <si>
    <t>Truhlík na květiny</t>
  </si>
  <si>
    <t>Dřevěné latě</t>
  </si>
  <si>
    <t>Stavební materiály a potřeby</t>
  </si>
  <si>
    <t>LED žárovky</t>
  </si>
  <si>
    <t>Osvětlení a elektroinstalace</t>
  </si>
  <si>
    <t>Zateplovací materiál</t>
  </si>
  <si>
    <t>Dekorační polštář</t>
  </si>
  <si>
    <t>Domácí dekorace a vybavení</t>
  </si>
  <si>
    <t>Stropní ventilátor</t>
  </si>
  <si>
    <t>Zahradní hadice</t>
  </si>
  <si>
    <t>Kompostér</t>
  </si>
  <si>
    <t>Závěsné světlo</t>
  </si>
  <si>
    <t>Aku vrtačka</t>
  </si>
  <si>
    <t>Nářadí a vybavení pro kutily</t>
  </si>
  <si>
    <t>Zahradní nůžky</t>
  </si>
  <si>
    <t>Nástěnné hodiny</t>
  </si>
  <si>
    <t>Podlahová lampa</t>
  </si>
  <si>
    <t>Sada šroubováků</t>
  </si>
  <si>
    <t>Ruční pila</t>
  </si>
  <si>
    <t>Noční osvětlení</t>
  </si>
  <si>
    <t>Svícen na stůl</t>
  </si>
  <si>
    <t>Postřikovač na trávník</t>
  </si>
  <si>
    <t>Střešní tašky</t>
  </si>
  <si>
    <t>Obrazy na plátno</t>
  </si>
  <si>
    <t>Sazenice bylinek</t>
  </si>
  <si>
    <t>Zásuvkový modul</t>
  </si>
  <si>
    <t>Koberec do obýváku</t>
  </si>
  <si>
    <t>Závěsné květináče</t>
  </si>
  <si>
    <t>Hoblík</t>
  </si>
  <si>
    <t>Osvětlení do zahrady</t>
  </si>
  <si>
    <t>Betonová směs</t>
  </si>
  <si>
    <t>Cementová malta</t>
  </si>
  <si>
    <t>Multifunkční nářadí</t>
  </si>
  <si>
    <t>Lepící pistole</t>
  </si>
  <si>
    <t>Bruska na dřevo</t>
  </si>
  <si>
    <t>Sádrokartonové desky</t>
  </si>
  <si>
    <t>Rámeček na fotografie</t>
  </si>
  <si>
    <t>Únor</t>
  </si>
  <si>
    <t>Březen</t>
  </si>
  <si>
    <t>Duben</t>
  </si>
  <si>
    <t>Květen</t>
  </si>
  <si>
    <t>Červen</t>
  </si>
  <si>
    <t>Červenec</t>
  </si>
  <si>
    <t>Unikátní seznam zboží</t>
  </si>
  <si>
    <t>Kohout</t>
  </si>
  <si>
    <t>Administrativní pracovník</t>
  </si>
  <si>
    <t>Finance</t>
  </si>
  <si>
    <t>Lucie</t>
  </si>
  <si>
    <t>Kolářová</t>
  </si>
  <si>
    <t>Účetní</t>
  </si>
  <si>
    <t>Miroslav</t>
  </si>
  <si>
    <t>Král</t>
  </si>
  <si>
    <t>Marková</t>
  </si>
  <si>
    <t>Manažer Financí</t>
  </si>
  <si>
    <t>Marie</t>
  </si>
  <si>
    <t>Procházková</t>
  </si>
  <si>
    <t>Benešová</t>
  </si>
  <si>
    <t>Kateřina</t>
  </si>
  <si>
    <t>Nováková</t>
  </si>
  <si>
    <t>Anna</t>
  </si>
  <si>
    <t>Bartošová</t>
  </si>
  <si>
    <t>HR</t>
  </si>
  <si>
    <t>František</t>
  </si>
  <si>
    <t>Dvořák</t>
  </si>
  <si>
    <t>Specialista náboru</t>
  </si>
  <si>
    <t>Eva</t>
  </si>
  <si>
    <t>Svobodová</t>
  </si>
  <si>
    <t>Manažer HR</t>
  </si>
  <si>
    <t>Novotný</t>
  </si>
  <si>
    <t>Specialista vzdělávání</t>
  </si>
  <si>
    <t>Obchodní zástupce</t>
  </si>
  <si>
    <t>Prodej</t>
  </si>
  <si>
    <t>Horáková</t>
  </si>
  <si>
    <t>Specialista zákaznického servisu</t>
  </si>
  <si>
    <t>Jelínková</t>
  </si>
  <si>
    <t>Pospíšilová</t>
  </si>
  <si>
    <t>Černý</t>
  </si>
  <si>
    <t>Manažer Obchodu</t>
  </si>
  <si>
    <t>Vašek</t>
  </si>
  <si>
    <t>Martin</t>
  </si>
  <si>
    <t>Růžička</t>
  </si>
  <si>
    <t>Vedoucí zákaznického servisu</t>
  </si>
  <si>
    <t>Lukáš</t>
  </si>
  <si>
    <t>Němec</t>
  </si>
  <si>
    <t>Srpen</t>
  </si>
  <si>
    <t>Září</t>
  </si>
  <si>
    <t>Říjen</t>
  </si>
  <si>
    <t>Listopad</t>
  </si>
  <si>
    <t>Prosinec</t>
  </si>
  <si>
    <t>Datum nástupu</t>
  </si>
  <si>
    <t>Pozice</t>
  </si>
  <si>
    <t>Oddělení</t>
  </si>
  <si>
    <t>Plat</t>
  </si>
  <si>
    <t>Michaela Veselá</t>
  </si>
  <si>
    <t>Masarykova 12</t>
  </si>
  <si>
    <t>Brno</t>
  </si>
  <si>
    <t>Česká republika</t>
  </si>
  <si>
    <t>Tomáš Havel</t>
  </si>
  <si>
    <t>Václavské náměstí 38</t>
  </si>
  <si>
    <t>Praha</t>
  </si>
  <si>
    <t>Lucie Fousková</t>
  </si>
  <si>
    <t>Zelný trh 5</t>
  </si>
  <si>
    <t>Olomouc</t>
  </si>
  <si>
    <t>Filip Navrátil</t>
  </si>
  <si>
    <t>Kounicova 42</t>
  </si>
  <si>
    <t>Tereza Machová</t>
  </si>
  <si>
    <t>Česká 21</t>
  </si>
  <si>
    <t>České Budějovice</t>
  </si>
  <si>
    <t>Jan Beránek</t>
  </si>
  <si>
    <t>Tyršova 58</t>
  </si>
  <si>
    <t>Liberec</t>
  </si>
  <si>
    <t>Veronika Kratochvílová</t>
  </si>
  <si>
    <t>Na Příkopě 17</t>
  </si>
  <si>
    <t>David Štěpán</t>
  </si>
  <si>
    <t>Smetanova 33</t>
  </si>
  <si>
    <t>Ústí nad Labem</t>
  </si>
  <si>
    <t>Pavla Švecová</t>
  </si>
  <si>
    <t>Hlavní třída 100</t>
  </si>
  <si>
    <t>Ostrava</t>
  </si>
  <si>
    <t>Karel Dvořák</t>
  </si>
  <si>
    <t>Tř. Kpt. Jaroše 10</t>
  </si>
  <si>
    <t>Adéla Bartošová</t>
  </si>
  <si>
    <t>Riegrova 22</t>
  </si>
  <si>
    <t>Vojtěch Kopecký</t>
  </si>
  <si>
    <t>Lidická 45</t>
  </si>
  <si>
    <t>Nikola Dlouhá</t>
  </si>
  <si>
    <t>Husova 32</t>
  </si>
  <si>
    <t>Matěj Kovář</t>
  </si>
  <si>
    <t>Dukelská 11</t>
  </si>
  <si>
    <t>Alena Urbanová</t>
  </si>
  <si>
    <t>Štefánikova 8</t>
  </si>
  <si>
    <t>Petr Černý</t>
  </si>
  <si>
    <t>U Hřbitova 6</t>
  </si>
  <si>
    <t>Markéta Zajícová</t>
  </si>
  <si>
    <t>Táborská 25</t>
  </si>
  <si>
    <t>Šimon Kučera</t>
  </si>
  <si>
    <t>Fügnerova 20</t>
  </si>
  <si>
    <t>Ivana Šimková</t>
  </si>
  <si>
    <t>Trnkova 18</t>
  </si>
  <si>
    <t>Milan Růžička</t>
  </si>
  <si>
    <t>Nádražní 50</t>
  </si>
  <si>
    <t>Jana Benešová</t>
  </si>
  <si>
    <t>Mlýnská 14</t>
  </si>
  <si>
    <t>Radek Novotný</t>
  </si>
  <si>
    <t>Jungmannova 39</t>
  </si>
  <si>
    <t>Eliška Holubová</t>
  </si>
  <si>
    <t>Prokopova 17</t>
  </si>
  <si>
    <t>Roman Vaňek</t>
  </si>
  <si>
    <t>Komenského 44</t>
  </si>
  <si>
    <t>Kristýna Světlíková</t>
  </si>
  <si>
    <t>Vrchlického 3</t>
  </si>
  <si>
    <t>Lukáš Pilař</t>
  </si>
  <si>
    <t>Palackého 12</t>
  </si>
  <si>
    <t>Gabriela Červenková</t>
  </si>
  <si>
    <t>Nerudova 28</t>
  </si>
  <si>
    <t>Seznam</t>
  </si>
  <si>
    <t>plný</t>
  </si>
  <si>
    <t>poloviční</t>
  </si>
  <si>
    <t>typ úvazku</t>
  </si>
  <si>
    <t>Gabriela</t>
  </si>
  <si>
    <t>Lenka</t>
  </si>
  <si>
    <t>Irena</t>
  </si>
  <si>
    <t>Karel</t>
  </si>
  <si>
    <t>Marketa</t>
  </si>
  <si>
    <t>Dominik</t>
  </si>
  <si>
    <t>Zuzana</t>
  </si>
  <si>
    <t>Zdenek</t>
  </si>
  <si>
    <t>Milan</t>
  </si>
  <si>
    <t>Radek</t>
  </si>
  <si>
    <t>Pavel</t>
  </si>
  <si>
    <t>Kristyna</t>
  </si>
  <si>
    <t>Nikola</t>
  </si>
  <si>
    <t>Radim</t>
  </si>
  <si>
    <t>Ales</t>
  </si>
  <si>
    <t>Monika</t>
  </si>
  <si>
    <t>Patrik</t>
  </si>
  <si>
    <t>Jiri</t>
  </si>
  <si>
    <t>Roman</t>
  </si>
  <si>
    <t>Reznickova</t>
  </si>
  <si>
    <t>Horka</t>
  </si>
  <si>
    <t>Kralova</t>
  </si>
  <si>
    <t>Konecna</t>
  </si>
  <si>
    <t>Valenta</t>
  </si>
  <si>
    <t>Kucera</t>
  </si>
  <si>
    <t>Hlavacova</t>
  </si>
  <si>
    <t>Dohnalova</t>
  </si>
  <si>
    <t>Tichy</t>
  </si>
  <si>
    <t>Pospisilova</t>
  </si>
  <si>
    <t>Burian</t>
  </si>
  <si>
    <t>Korinek</t>
  </si>
  <si>
    <t>Polak</t>
  </si>
  <si>
    <t>Marek</t>
  </si>
  <si>
    <t>Kasparova</t>
  </si>
  <si>
    <t>Vrbova</t>
  </si>
  <si>
    <t>Kuzel</t>
  </si>
  <si>
    <t>Zeman</t>
  </si>
  <si>
    <t>Rihova</t>
  </si>
  <si>
    <t>Bartos</t>
  </si>
  <si>
    <t>Stepanek</t>
  </si>
  <si>
    <t>Sykora</t>
  </si>
  <si>
    <t>Securedata</t>
  </si>
  <si>
    <t>Artvision</t>
  </si>
  <si>
    <t>Futuretech</t>
  </si>
  <si>
    <t>Biotime</t>
  </si>
  <si>
    <t>Globaltraders</t>
  </si>
  <si>
    <t>Techzone</t>
  </si>
  <si>
    <t>Greenpower</t>
  </si>
  <si>
    <t>Digitron</t>
  </si>
  <si>
    <t>Innovatech</t>
  </si>
  <si>
    <t>Medipoint</t>
  </si>
  <si>
    <t>Energysystem</t>
  </si>
  <si>
    <t>Powerup</t>
  </si>
  <si>
    <t>Ecoclean</t>
  </si>
  <si>
    <t>Citybuild</t>
  </si>
  <si>
    <t>Healthfirst</t>
  </si>
  <si>
    <t>Techstyle</t>
  </si>
  <si>
    <t>Marketvision</t>
  </si>
  <si>
    <t>Fintechpro</t>
  </si>
  <si>
    <t>Homecare</t>
  </si>
  <si>
    <t>Smartline</t>
  </si>
  <si>
    <t>Agrisolutions</t>
  </si>
  <si>
    <t>Softmedia</t>
  </si>
  <si>
    <t>Kategorie</t>
  </si>
  <si>
    <t>Zisk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</si>
</sst>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Kč&quot;"/>
  </numFmts>
  <fonts count="5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3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4" fillId="0" borderId="0" xfId="0" applyFont="1"/>
    <xf numFmtId="0" fontId="3" fillId="0" borderId="1" xfId="0" applyFont="1" applyBorder="1"/>
    <xf numFmtId="0" fontId="2" fillId="5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/>
  </cellXfs>
  <cellStyles count="1">
    <cellStyle name="Normální" xfId="0" builtinId="0"/>
  </cellStyles>
  <dxfs count="48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64" formatCode="#,##0\ &quot;Kč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none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#,##0\ &quot;Kč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none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#,##0\ &quot;Kč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none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none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Srovnání</a:t>
            </a:r>
            <a:r>
              <a:rPr lang="cs-CZ" baseline="0"/>
              <a:t> zisku v letech </a:t>
            </a:r>
            <a:r>
              <a:rPr lang="cs-CZ" b="1" baseline="0">
                <a:solidFill>
                  <a:schemeClr val="bg1">
                    <a:lumMod val="65000"/>
                  </a:schemeClr>
                </a:solidFill>
              </a:rPr>
              <a:t>2023</a:t>
            </a:r>
            <a:r>
              <a:rPr lang="cs-CZ" baseline="0"/>
              <a:t> a </a:t>
            </a:r>
            <a:r>
              <a:rPr lang="cs-CZ" b="1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2024</a:t>
            </a:r>
            <a:endParaRPr lang="cs-CZ" b="1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17074883245228148"/>
          <c:y val="0.1803703703703704"/>
          <c:w val="0.79482237255554322"/>
          <c:h val="0.57056451276923714"/>
        </c:manualLayout>
      </c:layout>
      <c:lineChart>
        <c:grouping val="standard"/>
        <c:varyColors val="0"/>
        <c:ser>
          <c:idx val="0"/>
          <c:order val="0"/>
          <c:tx>
            <c:strRef>
              <c:f>'Úkol 10'!$B$8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'Úkol 10'!$C$7:$N$7</c:f>
              <c:strCache>
                <c:ptCount val="12"/>
                <c:pt idx="0">
                  <c:v>Leden</c:v>
                </c:pt>
                <c:pt idx="1">
                  <c:v>Únor</c:v>
                </c:pt>
                <c:pt idx="2">
                  <c:v>Březen</c:v>
                </c:pt>
                <c:pt idx="3">
                  <c:v>Duben</c:v>
                </c:pt>
                <c:pt idx="4">
                  <c:v>Květen</c:v>
                </c:pt>
                <c:pt idx="5">
                  <c:v>Červen</c:v>
                </c:pt>
                <c:pt idx="6">
                  <c:v>Červenec</c:v>
                </c:pt>
                <c:pt idx="7">
                  <c:v>Srpen</c:v>
                </c:pt>
                <c:pt idx="8">
                  <c:v>Září</c:v>
                </c:pt>
                <c:pt idx="9">
                  <c:v>Říjen</c:v>
                </c:pt>
                <c:pt idx="10">
                  <c:v>Listopad</c:v>
                </c:pt>
                <c:pt idx="11">
                  <c:v>Prosinec</c:v>
                </c:pt>
              </c:strCache>
            </c:strRef>
          </c:cat>
          <c:val>
            <c:numRef>
              <c:f>'Úkol 10'!$C$8:$N$8</c:f>
              <c:numCache>
                <c:formatCode>#\ ##0\ "Kč"</c:formatCode>
                <c:ptCount val="12"/>
                <c:pt idx="0">
                  <c:v>294893</c:v>
                </c:pt>
                <c:pt idx="1">
                  <c:v>175232</c:v>
                </c:pt>
                <c:pt idx="2">
                  <c:v>184467</c:v>
                </c:pt>
                <c:pt idx="3">
                  <c:v>299043</c:v>
                </c:pt>
                <c:pt idx="4">
                  <c:v>349807</c:v>
                </c:pt>
                <c:pt idx="5">
                  <c:v>265012</c:v>
                </c:pt>
                <c:pt idx="6">
                  <c:v>349418</c:v>
                </c:pt>
                <c:pt idx="7">
                  <c:v>244756</c:v>
                </c:pt>
                <c:pt idx="8">
                  <c:v>195019</c:v>
                </c:pt>
                <c:pt idx="9">
                  <c:v>320579</c:v>
                </c:pt>
                <c:pt idx="10">
                  <c:v>161883</c:v>
                </c:pt>
                <c:pt idx="11">
                  <c:v>297003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692-4B0A-8597-D25ADD83961C}"/>
            </c:ext>
          </c:extLst>
        </c:ser>
        <c:ser>
          <c:idx val="1"/>
          <c:order val="1"/>
          <c:tx>
            <c:strRef>
              <c:f>'Úkol 10'!$B$9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'Úkol 10'!$C$7:$N$7</c:f>
              <c:strCache>
                <c:ptCount val="12"/>
                <c:pt idx="0">
                  <c:v>Leden</c:v>
                </c:pt>
                <c:pt idx="1">
                  <c:v>Únor</c:v>
                </c:pt>
                <c:pt idx="2">
                  <c:v>Březen</c:v>
                </c:pt>
                <c:pt idx="3">
                  <c:v>Duben</c:v>
                </c:pt>
                <c:pt idx="4">
                  <c:v>Květen</c:v>
                </c:pt>
                <c:pt idx="5">
                  <c:v>Červen</c:v>
                </c:pt>
                <c:pt idx="6">
                  <c:v>Červenec</c:v>
                </c:pt>
                <c:pt idx="7">
                  <c:v>Srpen</c:v>
                </c:pt>
                <c:pt idx="8">
                  <c:v>Září</c:v>
                </c:pt>
                <c:pt idx="9">
                  <c:v>Říjen</c:v>
                </c:pt>
                <c:pt idx="10">
                  <c:v>Listopad</c:v>
                </c:pt>
                <c:pt idx="11">
                  <c:v>Prosinec</c:v>
                </c:pt>
              </c:strCache>
            </c:strRef>
          </c:cat>
          <c:val>
            <c:numRef>
              <c:f>'Úkol 10'!$C$9:$N$9</c:f>
              <c:numCache>
                <c:formatCode>#\ ##0\ "Kč"</c:formatCode>
                <c:ptCount val="12"/>
                <c:pt idx="0">
                  <c:v>447949</c:v>
                </c:pt>
                <c:pt idx="1">
                  <c:v>299955</c:v>
                </c:pt>
                <c:pt idx="2">
                  <c:v>228044</c:v>
                </c:pt>
                <c:pt idx="3">
                  <c:v>390010</c:v>
                </c:pt>
                <c:pt idx="4">
                  <c:v>432002</c:v>
                </c:pt>
                <c:pt idx="5">
                  <c:v>256971</c:v>
                </c:pt>
                <c:pt idx="6">
                  <c:v>261487</c:v>
                </c:pt>
                <c:pt idx="7">
                  <c:v>191278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692-4B0A-8597-D25ADD839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235711"/>
        <c:axId val="336229951"/>
      </c:lineChart>
      <c:catAx>
        <c:axId val="33623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36229951"/>
        <c:crosses val="autoZero"/>
        <c:auto val="1"/>
        <c:lblAlgn val="ctr"/>
        <c:lblOffset val="100"/>
        <c:noMultiLvlLbl val="0"/>
      </c:catAx>
      <c:valAx>
        <c:axId val="33622995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\ ##0\ &quot;Kč&quot;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3623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[Test_Excel_POK - Finish.xlsx]Úkol 11!Kontingenční tabulka3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Porovnání</a:t>
            </a:r>
            <a:r>
              <a:rPr lang="cs-CZ" baseline="0"/>
              <a:t> prodejů po kategoriích v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>
                <a:shade val="15000"/>
                <a:alpha val="94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'Úkol 11'!$G$25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shade val="15000"/>
                  <a:alpha val="94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'Úkol 11'!$F$26:$F$30</c:f>
              <c:strCache>
                <c:ptCount val="5"/>
                <c:pt idx="0">
                  <c:v>Nářadí a vybavení pro kutily</c:v>
                </c:pt>
                <c:pt idx="1">
                  <c:v>Osvětlení a elektroinstalace</c:v>
                </c:pt>
                <c:pt idx="2">
                  <c:v>Zahradní nářadí a potřeby</c:v>
                </c:pt>
                <c:pt idx="3">
                  <c:v>Domácí dekorace a vybavení</c:v>
                </c:pt>
                <c:pt idx="4">
                  <c:v>Stavební materiály a potřeby</c:v>
                </c:pt>
              </c:strCache>
            </c:strRef>
          </c:cat>
          <c:val>
            <c:numRef>
              <c:f>'Úkol 11'!$G$26:$G$30</c:f>
              <c:numCache>
                <c:formatCode>0.00%</c:formatCode>
                <c:ptCount val="5"/>
                <c:pt idx="0">
                  <c:v>0.37046381547685836</c:v>
                </c:pt>
                <c:pt idx="1">
                  <c:v>0.26073533447750408</c:v>
                </c:pt>
                <c:pt idx="2">
                  <c:v>0.2203217513924412</c:v>
                </c:pt>
                <c:pt idx="3">
                  <c:v>0.10721789761734386</c:v>
                </c:pt>
                <c:pt idx="4">
                  <c:v>4.1261201035852492E-2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7-4E89-BD75-77E610ECC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009631"/>
        <c:axId val="407010111"/>
      </c:barChart>
      <c:catAx>
        <c:axId val="40700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07010111"/>
        <c:crosses val="autoZero"/>
        <c:auto val="0"/>
        <c:lblAlgn val="ctr"/>
        <c:lblOffset val="100"/>
        <c:noMultiLvlLbl val="0"/>
      </c:catAx>
      <c:valAx>
        <c:axId val="40701011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0700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19049</xdr:rowOff>
    </xdr:from>
    <xdr:to>
      <xdr:col>13</xdr:col>
      <xdr:colOff>304800</xdr:colOff>
      <xdr:row>10</xdr:row>
      <xdr:rowOff>142875</xdr:rowOff>
    </xdr:to>
    <xdr:sp macro="" textlink="">
      <xdr:nvSpPr>
        <xdr:cNvPr id="2" name="Obdélník 1">
          <a:extLst>
            <a:ext uri="{FF2B5EF4-FFF2-40B4-BE49-F238E27FC236}">
              <a16:creationId xmlns:a16="http://schemas.microsoft.com/office/drawing/2014/main" id="{D22DBD28-A257-A97E-1480-E792EAB12C33}"/>
            </a:ext>
          </a:extLst>
        </xdr:cNvPr>
        <xdr:cNvSpPr/>
      </xdr:nvSpPr>
      <xdr:spPr>
        <a:xfrm>
          <a:off x="5105400" y="209549"/>
          <a:ext cx="3895725" cy="183832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cs-CZ" sz="110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Zadání úkolu:</a:t>
          </a:r>
        </a:p>
        <a:p>
          <a:pPr algn="l"/>
          <a:endParaRPr lang="cs-CZ" sz="110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Vlevo</a:t>
          </a:r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máš seznam studentů a výsledky jejich testů. Studenti úspěšně prospěli, pokud alespoň jeden z testů splnili minimálně na 80 bodů.</a:t>
          </a: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Použij kombinaci funkcí pro oblast </a:t>
          </a:r>
          <a:r>
            <a:rPr lang="cs-CZ" sz="11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F3:F32</a:t>
          </a:r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, která vrátí "ANO" v případě, že student/ka prospěl/a a "NE" u studentů, kteří neprospěli.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38099</xdr:rowOff>
    </xdr:from>
    <xdr:to>
      <xdr:col>11</xdr:col>
      <xdr:colOff>304800</xdr:colOff>
      <xdr:row>6</xdr:row>
      <xdr:rowOff>85725</xdr:rowOff>
    </xdr:to>
    <xdr:sp macro="" textlink="">
      <xdr:nvSpPr>
        <xdr:cNvPr id="2" name="Obdélník 1">
          <a:extLst>
            <a:ext uri="{FF2B5EF4-FFF2-40B4-BE49-F238E27FC236}">
              <a16:creationId xmlns:a16="http://schemas.microsoft.com/office/drawing/2014/main" id="{9D737094-0AE1-47E1-9652-6A2C9FBF8432}"/>
            </a:ext>
          </a:extLst>
        </xdr:cNvPr>
        <xdr:cNvSpPr/>
      </xdr:nvSpPr>
      <xdr:spPr>
        <a:xfrm>
          <a:off x="4057650" y="228599"/>
          <a:ext cx="4400550" cy="100012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cs-CZ" sz="110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Zadání úkolu:</a:t>
          </a:r>
        </a:p>
        <a:p>
          <a:pPr algn="l"/>
          <a:endParaRPr lang="cs-CZ" sz="110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Pro buňky D3:D32</a:t>
          </a:r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použij funkci, která přidělí studentům známku na základě níže uvedených kritérií.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4</xdr:row>
      <xdr:rowOff>85724</xdr:rowOff>
    </xdr:from>
    <xdr:to>
      <xdr:col>12</xdr:col>
      <xdr:colOff>314325</xdr:colOff>
      <xdr:row>12</xdr:row>
      <xdr:rowOff>95250</xdr:rowOff>
    </xdr:to>
    <xdr:sp macro="" textlink="">
      <xdr:nvSpPr>
        <xdr:cNvPr id="2" name="Obdélník 1">
          <a:extLst>
            <a:ext uri="{FF2B5EF4-FFF2-40B4-BE49-F238E27FC236}">
              <a16:creationId xmlns:a16="http://schemas.microsoft.com/office/drawing/2014/main" id="{4BCDF22B-DEC8-48F5-8AA4-E90A43A495E3}"/>
            </a:ext>
          </a:extLst>
        </xdr:cNvPr>
        <xdr:cNvSpPr/>
      </xdr:nvSpPr>
      <xdr:spPr>
        <a:xfrm>
          <a:off x="4943475" y="847724"/>
          <a:ext cx="4105275" cy="153352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cs-CZ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Zadání úkolu:</a:t>
          </a:r>
          <a:endParaRPr lang="cs-CZ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Do buňky G3 doplň funkci,</a:t>
          </a:r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která vypočítá součet výsledků testu pro ženy ze třídy A.</a:t>
          </a: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Do buňky I3 doplň funkci, která vypočítá minimální počet bodů ve skupině mužů třídy B.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600074</xdr:colOff>
      <xdr:row>1</xdr:row>
      <xdr:rowOff>19049</xdr:rowOff>
    </xdr:from>
    <xdr:to>
      <xdr:col>9</xdr:col>
      <xdr:colOff>114300</xdr:colOff>
      <xdr:row>7</xdr:row>
      <xdr:rowOff>123825</xdr:rowOff>
    </xdr:to>
    <xdr:sp macro="" textlink="">
      <xdr:nvSpPr>
        <xdr:cNvPr id="2" name="Obdélník 1">
          <a:extLst>
            <a:ext uri="{FF2B5EF4-FFF2-40B4-BE49-F238E27FC236}">
              <a16:creationId xmlns:a16="http://schemas.microsoft.com/office/drawing/2014/main" id="{21DFC5BF-CD29-4804-9012-812E74110CCD}"/>
            </a:ext>
          </a:extLst>
        </xdr:cNvPr>
        <xdr:cNvSpPr/>
      </xdr:nvSpPr>
      <xdr:spPr>
        <a:xfrm>
          <a:off x="3686174" y="209549"/>
          <a:ext cx="4362451" cy="12477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cs-CZ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Zadání úkolu:</a:t>
          </a:r>
          <a:endParaRPr lang="cs-CZ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Do buněk</a:t>
          </a:r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F10:F20 zadej funkci (nebo kombinaci funkcí), která přiřadí podle ID správnou emailovou adresu z tabulky vlevo. Pokud funkce nenajde ID v tabulce, ať vrátí textový řetězec "nenalezeno".</a:t>
          </a: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0</xdr:row>
      <xdr:rowOff>28574</xdr:rowOff>
    </xdr:from>
    <xdr:to>
      <xdr:col>2</xdr:col>
      <xdr:colOff>95250</xdr:colOff>
      <xdr:row>6</xdr:row>
      <xdr:rowOff>19049</xdr:rowOff>
    </xdr:to>
    <xdr:sp macro="" textlink="">
      <xdr:nvSpPr>
        <xdr:cNvPr id="2" name="Obdélník 1">
          <a:extLst>
            <a:ext uri="{FF2B5EF4-FFF2-40B4-BE49-F238E27FC236}">
              <a16:creationId xmlns:a16="http://schemas.microsoft.com/office/drawing/2014/main" id="{6FAF9EDB-722C-409A-AEBC-34F78F3EF4DF}"/>
            </a:ext>
          </a:extLst>
        </xdr:cNvPr>
        <xdr:cNvSpPr/>
      </xdr:nvSpPr>
      <xdr:spPr>
        <a:xfrm>
          <a:off x="600074" y="28574"/>
          <a:ext cx="4162426" cy="11334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cs-CZ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Zadání úkolu:</a:t>
          </a:r>
          <a:endParaRPr lang="cs-CZ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Níže jsou data zákazníků v textovém formátu s</a:t>
          </a:r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oddělovačem v podobě čárky. Použij funkci nebo jiný nástroj na rozdělení dat do sloupců vpravo.</a:t>
          </a: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4</xdr:row>
      <xdr:rowOff>9523</xdr:rowOff>
    </xdr:from>
    <xdr:to>
      <xdr:col>11</xdr:col>
      <xdr:colOff>200025</xdr:colOff>
      <xdr:row>15</xdr:row>
      <xdr:rowOff>95250</xdr:rowOff>
    </xdr:to>
    <xdr:sp macro="" textlink="">
      <xdr:nvSpPr>
        <xdr:cNvPr id="2" name="Obdélník 1">
          <a:extLst>
            <a:ext uri="{FF2B5EF4-FFF2-40B4-BE49-F238E27FC236}">
              <a16:creationId xmlns:a16="http://schemas.microsoft.com/office/drawing/2014/main" id="{6986CD17-0BD0-40FD-B99E-140AA7EDC548}"/>
            </a:ext>
          </a:extLst>
        </xdr:cNvPr>
        <xdr:cNvSpPr/>
      </xdr:nvSpPr>
      <xdr:spPr>
        <a:xfrm>
          <a:off x="5076824" y="771523"/>
          <a:ext cx="4381501" cy="218122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cs-CZ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Zadání úkolu:</a:t>
          </a:r>
          <a:endParaRPr lang="cs-CZ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Vlevo je seznam zaměstnanců ve formátované tabulce "Zaměstnanci". Tabulku přejmenuj na "Seznam". </a:t>
          </a:r>
        </a:p>
        <a:p>
          <a:pPr algn="l"/>
          <a:endParaRPr lang="cs-CZ" sz="110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Dále nastav,</a:t>
          </a:r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aby do sloupce "Pracovní úvazek" bylo možné vybírat jen z přednastaveného rozevíracího seznamu z možností "plný" a "poloviční".</a:t>
          </a: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Ve sloupci "ID zaměstnance" nastav, aby bylo možné zadávat jen celá čísla mezi 1000 a 9999.</a:t>
          </a: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171449</xdr:colOff>
      <xdr:row>1</xdr:row>
      <xdr:rowOff>28574</xdr:rowOff>
    </xdr:from>
    <xdr:to>
      <xdr:col>11</xdr:col>
      <xdr:colOff>228600</xdr:colOff>
      <xdr:row>10</xdr:row>
      <xdr:rowOff>171450</xdr:rowOff>
    </xdr:to>
    <xdr:sp macro="" textlink="">
      <xdr:nvSpPr>
        <xdr:cNvPr id="2" name="Obdélník 1">
          <a:extLst>
            <a:ext uri="{FF2B5EF4-FFF2-40B4-BE49-F238E27FC236}">
              <a16:creationId xmlns:a16="http://schemas.microsoft.com/office/drawing/2014/main" id="{2FE3CA30-F8F2-42D4-9567-EF2195B43B45}"/>
            </a:ext>
          </a:extLst>
        </xdr:cNvPr>
        <xdr:cNvSpPr/>
      </xdr:nvSpPr>
      <xdr:spPr>
        <a:xfrm>
          <a:off x="5324474" y="981074"/>
          <a:ext cx="4857751" cy="18573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cs-CZ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Zadání úkolu:</a:t>
          </a:r>
          <a:endParaRPr lang="cs-CZ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Pomocí podmíněného formátování nastav, aby se automaticky zabarvily žlutě</a:t>
          </a:r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celé řádky v tabulce vlevo, pokud zaměstnanec odpracoval méně než 120 hodin.</a:t>
          </a:r>
          <a:endParaRPr lang="en-US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en-US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D</a:t>
          </a:r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á</a:t>
          </a:r>
          <a:r>
            <a:rPr lang="en-US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le nastav, aby se u 3 zam</a:t>
          </a:r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ěstnanců, kteří mají nejvíce odpracovaných hodin, zabarvila buňka s odpracovanými hodinami zeleně a text bíle.</a:t>
          </a: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Vpravo můžeš vidět obrázek cílového stavu.</a:t>
          </a: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11</xdr:col>
      <xdr:colOff>390525</xdr:colOff>
      <xdr:row>0</xdr:row>
      <xdr:rowOff>142875</xdr:rowOff>
    </xdr:from>
    <xdr:to>
      <xdr:col>18</xdr:col>
      <xdr:colOff>191142</xdr:colOff>
      <xdr:row>27</xdr:row>
      <xdr:rowOff>115014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8C71080A-819F-85B8-5CC5-7316DC646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91950" y="904875"/>
          <a:ext cx="4601217" cy="511563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0</xdr:row>
      <xdr:rowOff>66674</xdr:rowOff>
    </xdr:from>
    <xdr:to>
      <xdr:col>6</xdr:col>
      <xdr:colOff>466724</xdr:colOff>
      <xdr:row>5</xdr:row>
      <xdr:rowOff>152400</xdr:rowOff>
    </xdr:to>
    <xdr:sp macro="" textlink="">
      <xdr:nvSpPr>
        <xdr:cNvPr id="2" name="Obdélník 1">
          <a:extLst>
            <a:ext uri="{FF2B5EF4-FFF2-40B4-BE49-F238E27FC236}">
              <a16:creationId xmlns:a16="http://schemas.microsoft.com/office/drawing/2014/main" id="{1288B479-E874-45C5-948D-DBCC2280B9E9}"/>
            </a:ext>
          </a:extLst>
        </xdr:cNvPr>
        <xdr:cNvSpPr/>
      </xdr:nvSpPr>
      <xdr:spPr>
        <a:xfrm>
          <a:off x="600074" y="66674"/>
          <a:ext cx="6581775" cy="103822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cs-CZ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Zadání úkolu:</a:t>
          </a:r>
          <a:endParaRPr lang="cs-CZ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Za použití nástrojů nebo funkcí doplň automaticky prázdné buňky v tabulce. Jako zdroj dat použij první 2 sloupce. V prvním řádku najdeš vzor, jak by měl vypadat výsledek.</a:t>
          </a: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66674</xdr:rowOff>
    </xdr:from>
    <xdr:to>
      <xdr:col>7</xdr:col>
      <xdr:colOff>19050</xdr:colOff>
      <xdr:row>5</xdr:row>
      <xdr:rowOff>104775</xdr:rowOff>
    </xdr:to>
    <xdr:sp macro="" textlink="">
      <xdr:nvSpPr>
        <xdr:cNvPr id="2" name="Obdélník 1">
          <a:extLst>
            <a:ext uri="{FF2B5EF4-FFF2-40B4-BE49-F238E27FC236}">
              <a16:creationId xmlns:a16="http://schemas.microsoft.com/office/drawing/2014/main" id="{7DC27D41-AB26-4A99-8A2D-17B7E09DFD4E}"/>
            </a:ext>
          </a:extLst>
        </xdr:cNvPr>
        <xdr:cNvSpPr/>
      </xdr:nvSpPr>
      <xdr:spPr>
        <a:xfrm>
          <a:off x="600075" y="66674"/>
          <a:ext cx="6724650" cy="99060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cs-CZ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Zadání úkolu:</a:t>
          </a:r>
          <a:endParaRPr lang="cs-CZ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Pomocí kombinace dynamických funkcí vytvoř unikátní seznam zboží (každé zboží je v seznamu jen jednou), který je seřazený vzestupně od A do Z.</a:t>
          </a: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</xdr:row>
      <xdr:rowOff>0</xdr:rowOff>
    </xdr:from>
    <xdr:to>
      <xdr:col>13</xdr:col>
      <xdr:colOff>676275</xdr:colOff>
      <xdr:row>25</xdr:row>
      <xdr:rowOff>85725</xdr:rowOff>
    </xdr:to>
    <xdr:sp macro="" textlink="">
      <xdr:nvSpPr>
        <xdr:cNvPr id="6" name="Obdélník: se zakulacenými rohy 5">
          <a:extLst>
            <a:ext uri="{FF2B5EF4-FFF2-40B4-BE49-F238E27FC236}">
              <a16:creationId xmlns:a16="http://schemas.microsoft.com/office/drawing/2014/main" id="{1AEAE310-5CD7-ECAE-96F7-4BAB53E1E35D}"/>
            </a:ext>
          </a:extLst>
        </xdr:cNvPr>
        <xdr:cNvSpPr/>
      </xdr:nvSpPr>
      <xdr:spPr>
        <a:xfrm>
          <a:off x="5324475" y="2286000"/>
          <a:ext cx="4105275" cy="2562225"/>
        </a:xfrm>
        <a:prstGeom prst="roundRect">
          <a:avLst/>
        </a:prstGeom>
        <a:solidFill>
          <a:schemeClr val="bg1"/>
        </a:solidFill>
        <a:ln w="317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1</xdr:col>
      <xdr:colOff>1</xdr:colOff>
      <xdr:row>0</xdr:row>
      <xdr:rowOff>104774</xdr:rowOff>
    </xdr:from>
    <xdr:to>
      <xdr:col>10</xdr:col>
      <xdr:colOff>276225</xdr:colOff>
      <xdr:row>5</xdr:row>
      <xdr:rowOff>66675</xdr:rowOff>
    </xdr:to>
    <xdr:sp macro="" textlink="">
      <xdr:nvSpPr>
        <xdr:cNvPr id="2" name="Obdélník 1">
          <a:extLst>
            <a:ext uri="{FF2B5EF4-FFF2-40B4-BE49-F238E27FC236}">
              <a16:creationId xmlns:a16="http://schemas.microsoft.com/office/drawing/2014/main" id="{081EABFC-F075-40B7-B391-3B9F854624EE}"/>
            </a:ext>
          </a:extLst>
        </xdr:cNvPr>
        <xdr:cNvSpPr/>
      </xdr:nvSpPr>
      <xdr:spPr>
        <a:xfrm>
          <a:off x="723901" y="104774"/>
          <a:ext cx="7191374" cy="91440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cs-CZ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Zadání úkolu:</a:t>
          </a:r>
          <a:endParaRPr lang="cs-CZ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Za pomoci dat níže vytvoř přesnou kopii grafu, umístěného na obrázku vlevo pod tabulkou, na prázdnou dlaždici vpravo.</a:t>
          </a: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0</xdr:col>
      <xdr:colOff>619125</xdr:colOff>
      <xdr:row>11</xdr:row>
      <xdr:rowOff>104775</xdr:rowOff>
    </xdr:from>
    <xdr:to>
      <xdr:col>7</xdr:col>
      <xdr:colOff>286443</xdr:colOff>
      <xdr:row>26</xdr:row>
      <xdr:rowOff>57542</xdr:rowOff>
    </xdr:to>
    <xdr:pic>
      <xdr:nvPicPr>
        <xdr:cNvPr id="7" name="Obrázek 6">
          <a:extLst>
            <a:ext uri="{FF2B5EF4-FFF2-40B4-BE49-F238E27FC236}">
              <a16:creationId xmlns:a16="http://schemas.microsoft.com/office/drawing/2014/main" id="{A86FDDE7-C895-5776-36D2-17577344B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2581275"/>
          <a:ext cx="4963218" cy="2810267"/>
        </a:xfrm>
        <a:prstGeom prst="rect">
          <a:avLst/>
        </a:prstGeom>
      </xdr:spPr>
    </xdr:pic>
    <xdr:clientData/>
  </xdr:twoCellAnchor>
  <xdr:twoCellAnchor>
    <xdr:from>
      <xdr:col>8</xdr:col>
      <xdr:colOff>219075</xdr:colOff>
      <xdr:row>12</xdr:row>
      <xdr:rowOff>104775</xdr:rowOff>
    </xdr:from>
    <xdr:to>
      <xdr:col>13</xdr:col>
      <xdr:colOff>485774</xdr:colOff>
      <xdr:row>24</xdr:row>
      <xdr:rowOff>180975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A880620B-052F-FF56-8485-B3AAE247E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0</xdr:row>
      <xdr:rowOff>38101</xdr:rowOff>
    </xdr:from>
    <xdr:to>
      <xdr:col>4</xdr:col>
      <xdr:colOff>514350</xdr:colOff>
      <xdr:row>14</xdr:row>
      <xdr:rowOff>104775</xdr:rowOff>
    </xdr:to>
    <xdr:sp macro="" textlink="">
      <xdr:nvSpPr>
        <xdr:cNvPr id="5" name="Obdélník 4">
          <a:extLst>
            <a:ext uri="{FF2B5EF4-FFF2-40B4-BE49-F238E27FC236}">
              <a16:creationId xmlns:a16="http://schemas.microsoft.com/office/drawing/2014/main" id="{F1819711-12AE-4A9F-B5A6-B9052C80500B}"/>
            </a:ext>
          </a:extLst>
        </xdr:cNvPr>
        <xdr:cNvSpPr/>
      </xdr:nvSpPr>
      <xdr:spPr>
        <a:xfrm>
          <a:off x="57151" y="38101"/>
          <a:ext cx="5095874" cy="273367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cs-CZ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Zadání úkolu:</a:t>
          </a:r>
          <a:endParaRPr lang="cs-CZ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Z dat níže vytvoř kontingenční tabulku, kterou umísti do buňky F25, a nastav ji tak, aby ukazovala jednotlivé kategorie zboží a jejich % podíl na celkovém zisku.</a:t>
          </a: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Kategorie seřaď podle výše % podílu na celkovém zisku od nejvyššího po nejnižší.</a:t>
          </a: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Skryj celkový součet v kontingenční tabulce a přejmenuj nadpisy v hlavičce tabulky na "Kategorie" a "Zisk%".</a:t>
          </a: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Vytvoř průřez pro sloupec Měsíc a vyfiltruj pouze Duben, Květen a Červen.</a:t>
          </a: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Vytvoř kontingenční graf přesně podle předlohy vpravo, kde vidíš obrázek úspěšného dokončení tohoto úkolu.</a:t>
          </a: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4</xdr:col>
      <xdr:colOff>638175</xdr:colOff>
      <xdr:row>0</xdr:row>
      <xdr:rowOff>161925</xdr:rowOff>
    </xdr:from>
    <xdr:to>
      <xdr:col>9</xdr:col>
      <xdr:colOff>820214</xdr:colOff>
      <xdr:row>22</xdr:row>
      <xdr:rowOff>19615</xdr:rowOff>
    </xdr:to>
    <xdr:pic>
      <xdr:nvPicPr>
        <xdr:cNvPr id="8" name="Obrázek 7">
          <a:extLst>
            <a:ext uri="{FF2B5EF4-FFF2-40B4-BE49-F238E27FC236}">
              <a16:creationId xmlns:a16="http://schemas.microsoft.com/office/drawing/2014/main" id="{9E3BF9A0-5F72-FADF-34C2-AD1C73E83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600" y="161925"/>
          <a:ext cx="7621064" cy="4048690"/>
        </a:xfrm>
        <a:prstGeom prst="rect">
          <a:avLst/>
        </a:prstGeom>
      </xdr:spPr>
    </xdr:pic>
    <xdr:clientData/>
  </xdr:twoCellAnchor>
  <xdr:twoCellAnchor editAs="oneCell">
    <xdr:from>
      <xdr:col>4</xdr:col>
      <xdr:colOff>561975</xdr:colOff>
      <xdr:row>30</xdr:row>
      <xdr:rowOff>95250</xdr:rowOff>
    </xdr:from>
    <xdr:to>
      <xdr:col>6</xdr:col>
      <xdr:colOff>19050</xdr:colOff>
      <xdr:row>44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ěsíc">
              <a:extLst>
                <a:ext uri="{FF2B5EF4-FFF2-40B4-BE49-F238E27FC236}">
                  <a16:creationId xmlns:a16="http://schemas.microsoft.com/office/drawing/2014/main" id="{B9032F0D-9FA1-D769-9E56-7905DCCD33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ěsí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00650" y="58102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obrazec představuje průřez. Průřezy se dají používat v Excelu 2010 nebo v novější verzi.
Průřez se nedá použít, pokud je obrazec upravený ve starší verzi Excelu nebo pokud je sešit uložený v Excelu 2003 nebo starší verzi.</a:t>
              </a:r>
            </a:p>
          </xdr:txBody>
        </xdr:sp>
      </mc:Fallback>
    </mc:AlternateContent>
    <xdr:clientData/>
  </xdr:twoCellAnchor>
  <xdr:twoCellAnchor>
    <xdr:from>
      <xdr:col>6</xdr:col>
      <xdr:colOff>466725</xdr:colOff>
      <xdr:row>30</xdr:row>
      <xdr:rowOff>71437</xdr:rowOff>
    </xdr:from>
    <xdr:to>
      <xdr:col>9</xdr:col>
      <xdr:colOff>1666874</xdr:colOff>
      <xdr:row>43</xdr:row>
      <xdr:rowOff>161925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4D77BEC2-4CAE-511D-9146-046CA8220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1</xdr:row>
      <xdr:rowOff>28574</xdr:rowOff>
    </xdr:from>
    <xdr:to>
      <xdr:col>12</xdr:col>
      <xdr:colOff>914400</xdr:colOff>
      <xdr:row>6</xdr:row>
      <xdr:rowOff>95250</xdr:rowOff>
    </xdr:to>
    <xdr:sp macro="" textlink="">
      <xdr:nvSpPr>
        <xdr:cNvPr id="2" name="Obdélník 1">
          <a:extLst>
            <a:ext uri="{FF2B5EF4-FFF2-40B4-BE49-F238E27FC236}">
              <a16:creationId xmlns:a16="http://schemas.microsoft.com/office/drawing/2014/main" id="{030068EB-63A1-4E40-AE69-19237B371B9D}"/>
            </a:ext>
          </a:extLst>
        </xdr:cNvPr>
        <xdr:cNvSpPr/>
      </xdr:nvSpPr>
      <xdr:spPr>
        <a:xfrm>
          <a:off x="7810501" y="219074"/>
          <a:ext cx="5257799" cy="10191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cs-CZ" sz="1100" b="1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Zadání úkolu:</a:t>
          </a:r>
          <a:endParaRPr lang="cs-CZ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lang="cs-CZ" sz="1100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Pomocí Power Query spoj formátované tabulky "Finance", "HR" a "Prodej" do jedné tabulky, která bude umístěna do buňky I8 a pojmenuj ji "Souhrn".</a:t>
          </a: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endParaRPr lang="cs-CZ" sz="1100" baseline="0">
            <a:solidFill>
              <a:sysClr val="windowText" lastClr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ra Zikmundová" refreshedDate="45573.536633101852" createdVersion="8" refreshedVersion="8" minRefreshableVersion="3" recordCount="525" xr:uid="{FA578C09-2E8C-470B-8D65-95A71FFB64A9}">
  <cacheSource type="worksheet">
    <worksheetSource ref="A16:D541" sheet="Úkol 11"/>
  </cacheSource>
  <cacheFields count="4">
    <cacheField name="Měsíc" numFmtId="0">
      <sharedItems count="7">
        <s v="Leden"/>
        <s v="Únor"/>
        <s v="Březen"/>
        <s v="Duben"/>
        <s v="Květen"/>
        <s v="Červen"/>
        <s v="Červenec"/>
      </sharedItems>
    </cacheField>
    <cacheField name="Zboží" numFmtId="0">
      <sharedItems/>
    </cacheField>
    <cacheField name="Kategorie zboží" numFmtId="0">
      <sharedItems count="5">
        <s v="Zahradní nářadí a potřeby"/>
        <s v="Nářadí a vybavení pro kutily"/>
        <s v="Domácí dekorace a vybavení"/>
        <s v="Osvětlení a elektroinstalace"/>
        <s v="Stavební materiály a potřeby"/>
      </sharedItems>
    </cacheField>
    <cacheField name="Zisk" numFmtId="164">
      <sharedItems containsSemiMixedTypes="0" containsString="0" containsNumber="1" minValue="84" maxValue="152312"/>
    </cacheField>
  </cacheFields>
  <extLst>
    <ext xmlns:x14="http://schemas.microsoft.com/office/spreadsheetml/2009/9/main" uri="{725AE2AE-9491-48be-B2B4-4EB974FC3084}">
      <x14:pivotCacheDefinition pivotCacheId="12664742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5">
  <r>
    <x v="0"/>
    <s v="Sada zahradního nářadí"/>
    <x v="0"/>
    <n v="10955"/>
  </r>
  <r>
    <x v="0"/>
    <s v="Truhlík na květiny"/>
    <x v="0"/>
    <n v="1292"/>
  </r>
  <r>
    <x v="0"/>
    <s v="Multifunkční nářadí"/>
    <x v="1"/>
    <n v="69156"/>
  </r>
  <r>
    <x v="0"/>
    <s v="Dekorační polštář"/>
    <x v="2"/>
    <n v="7992"/>
  </r>
  <r>
    <x v="0"/>
    <s v="Stropní ventilátor"/>
    <x v="3"/>
    <n v="113752"/>
  </r>
  <r>
    <x v="0"/>
    <s v="Zahradní hadice"/>
    <x v="0"/>
    <n v="3856.9999999999995"/>
  </r>
  <r>
    <x v="0"/>
    <s v="Kompostér"/>
    <x v="0"/>
    <n v="1842"/>
  </r>
  <r>
    <x v="0"/>
    <s v="Lepící pistole"/>
    <x v="1"/>
    <n v="2560"/>
  </r>
  <r>
    <x v="0"/>
    <s v="Cementová malta"/>
    <x v="4"/>
    <n v="781"/>
  </r>
  <r>
    <x v="0"/>
    <s v="Závěsné světlo"/>
    <x v="3"/>
    <n v="2106"/>
  </r>
  <r>
    <x v="0"/>
    <s v="Sazenice bylinek"/>
    <x v="0"/>
    <n v="2351.9999999999995"/>
  </r>
  <r>
    <x v="0"/>
    <s v="Osvětlení do zahrady"/>
    <x v="3"/>
    <n v="7161"/>
  </r>
  <r>
    <x v="0"/>
    <s v="Aku vrtačka"/>
    <x v="1"/>
    <n v="4248"/>
  </r>
  <r>
    <x v="0"/>
    <s v="Zahradní nůžky"/>
    <x v="0"/>
    <n v="6390"/>
  </r>
  <r>
    <x v="0"/>
    <s v="Bruska na dřevo"/>
    <x v="1"/>
    <n v="37740"/>
  </r>
  <r>
    <x v="0"/>
    <s v="Závěsné květináče"/>
    <x v="2"/>
    <n v="809.99999999999989"/>
  </r>
  <r>
    <x v="0"/>
    <s v="Nástěnné hodiny"/>
    <x v="2"/>
    <n v="14700"/>
  </r>
  <r>
    <x v="0"/>
    <s v="Podlahová lampa"/>
    <x v="3"/>
    <n v="11832"/>
  </r>
  <r>
    <x v="0"/>
    <s v="Sádrokartonové desky"/>
    <x v="4"/>
    <n v="2057"/>
  </r>
  <r>
    <x v="0"/>
    <s v="Obrazy na plátno"/>
    <x v="2"/>
    <n v="10112"/>
  </r>
  <r>
    <x v="0"/>
    <s v="Sada šroubováků"/>
    <x v="1"/>
    <n v="29639"/>
  </r>
  <r>
    <x v="0"/>
    <s v="Ruční pila"/>
    <x v="1"/>
    <n v="2725"/>
  </r>
  <r>
    <x v="0"/>
    <s v="Noční osvětlení"/>
    <x v="3"/>
    <n v="9078"/>
  </r>
  <r>
    <x v="0"/>
    <s v="Svícen na stůl"/>
    <x v="2"/>
    <n v="1980.0000000000002"/>
  </r>
  <r>
    <x v="0"/>
    <s v="Koberec do obýváku"/>
    <x v="2"/>
    <n v="874"/>
  </r>
  <r>
    <x v="0"/>
    <s v="Postřikovač na trávník"/>
    <x v="0"/>
    <n v="5950"/>
  </r>
  <r>
    <x v="0"/>
    <s v="Střešní tašky"/>
    <x v="4"/>
    <n v="8740"/>
  </r>
  <r>
    <x v="0"/>
    <s v="Zásuvkový modul"/>
    <x v="3"/>
    <n v="2988"/>
  </r>
  <r>
    <x v="0"/>
    <s v="Sada zahradního nářadí"/>
    <x v="0"/>
    <n v="15024"/>
  </r>
  <r>
    <x v="0"/>
    <s v="Truhlík na květiny"/>
    <x v="0"/>
    <n v="340"/>
  </r>
  <r>
    <x v="0"/>
    <s v="Multifunkční nářadí"/>
    <x v="1"/>
    <n v="91530"/>
  </r>
  <r>
    <x v="0"/>
    <s v="Zateplovací materiál"/>
    <x v="4"/>
    <n v="12524"/>
  </r>
  <r>
    <x v="0"/>
    <s v="Dekorační polštář"/>
    <x v="2"/>
    <n v="11692"/>
  </r>
  <r>
    <x v="0"/>
    <s v="Stropní ventilátor"/>
    <x v="3"/>
    <n v="93508"/>
  </r>
  <r>
    <x v="0"/>
    <s v="Zahradní hadice"/>
    <x v="0"/>
    <n v="3856.9999999999995"/>
  </r>
  <r>
    <x v="0"/>
    <s v="Kompostér"/>
    <x v="0"/>
    <n v="13508"/>
  </r>
  <r>
    <x v="0"/>
    <s v="Lepící pistole"/>
    <x v="1"/>
    <n v="2688"/>
  </r>
  <r>
    <x v="0"/>
    <s v="Osvětlení do zahrady"/>
    <x v="3"/>
    <n v="6699"/>
  </r>
  <r>
    <x v="0"/>
    <s v="Zahradní nůžky"/>
    <x v="0"/>
    <n v="18318"/>
  </r>
  <r>
    <x v="0"/>
    <s v="Bruska na dřevo"/>
    <x v="1"/>
    <n v="58956"/>
  </r>
  <r>
    <x v="0"/>
    <s v="Obrazy na plátno"/>
    <x v="2"/>
    <n v="8216"/>
  </r>
  <r>
    <x v="0"/>
    <s v="Sada šroubováků"/>
    <x v="1"/>
    <n v="23540"/>
  </r>
  <r>
    <x v="0"/>
    <s v="Hoblík"/>
    <x v="1"/>
    <n v="5456"/>
  </r>
  <r>
    <x v="0"/>
    <s v="Ruční pila"/>
    <x v="1"/>
    <n v="1090"/>
  </r>
  <r>
    <x v="0"/>
    <s v="Noční osvětlení"/>
    <x v="3"/>
    <n v="7446"/>
  </r>
  <r>
    <x v="0"/>
    <s v="Svícen na stůl"/>
    <x v="2"/>
    <n v="4140"/>
  </r>
  <r>
    <x v="0"/>
    <s v="Postřikovač na trávník"/>
    <x v="0"/>
    <n v="1666"/>
  </r>
  <r>
    <x v="0"/>
    <s v="Střešní tašky"/>
    <x v="4"/>
    <n v="5750"/>
  </r>
  <r>
    <x v="0"/>
    <s v="Sada zahradního nářadí"/>
    <x v="0"/>
    <n v="37560"/>
  </r>
  <r>
    <x v="0"/>
    <s v="Truhlík na květiny"/>
    <x v="0"/>
    <n v="5168"/>
  </r>
  <r>
    <x v="0"/>
    <s v="Multifunkční nářadí"/>
    <x v="1"/>
    <n v="28137"/>
  </r>
  <r>
    <x v="0"/>
    <s v="Zateplovací materiál"/>
    <x v="4"/>
    <n v="13130"/>
  </r>
  <r>
    <x v="0"/>
    <s v="Dekorační polštář"/>
    <x v="2"/>
    <n v="6512"/>
  </r>
  <r>
    <x v="0"/>
    <s v="Zahradní hadice"/>
    <x v="0"/>
    <n v="4788"/>
  </r>
  <r>
    <x v="0"/>
    <s v="Kompostér"/>
    <x v="0"/>
    <n v="25174"/>
  </r>
  <r>
    <x v="0"/>
    <s v="Lepící pistole"/>
    <x v="1"/>
    <n v="4160"/>
  </r>
  <r>
    <x v="0"/>
    <s v="Cementová malta"/>
    <x v="4"/>
    <n v="2982"/>
  </r>
  <r>
    <x v="0"/>
    <s v="Závěsné světlo"/>
    <x v="3"/>
    <n v="14742"/>
  </r>
  <r>
    <x v="0"/>
    <s v="Sazenice bylinek"/>
    <x v="0"/>
    <n v="2575.9999999999995"/>
  </r>
  <r>
    <x v="0"/>
    <s v="Osvětlení do zahrady"/>
    <x v="3"/>
    <n v="6930"/>
  </r>
  <r>
    <x v="0"/>
    <s v="Aku vrtačka"/>
    <x v="1"/>
    <n v="16048"/>
  </r>
  <r>
    <x v="0"/>
    <s v="Zahradní nůžky"/>
    <x v="0"/>
    <n v="12567"/>
  </r>
  <r>
    <x v="0"/>
    <s v="Bruska na dřevo"/>
    <x v="1"/>
    <n v="9384"/>
  </r>
  <r>
    <x v="0"/>
    <s v="Nástěnné hodiny"/>
    <x v="2"/>
    <n v="2520"/>
  </r>
  <r>
    <x v="0"/>
    <s v="Sádrokartonové desky"/>
    <x v="4"/>
    <n v="1331"/>
  </r>
  <r>
    <x v="0"/>
    <s v="Obrazy na plátno"/>
    <x v="2"/>
    <n v="42976"/>
  </r>
  <r>
    <x v="0"/>
    <s v="Sada šroubováků"/>
    <x v="1"/>
    <n v="20651"/>
  </r>
  <r>
    <x v="0"/>
    <s v="Hoblík"/>
    <x v="1"/>
    <n v="496"/>
  </r>
  <r>
    <x v="0"/>
    <s v="Ruční pila"/>
    <x v="1"/>
    <n v="4687"/>
  </r>
  <r>
    <x v="0"/>
    <s v="Betonová směs"/>
    <x v="4"/>
    <n v="672"/>
  </r>
  <r>
    <x v="0"/>
    <s v="Noční osvětlení"/>
    <x v="3"/>
    <n v="23766"/>
  </r>
  <r>
    <x v="0"/>
    <s v="Svícen na stůl"/>
    <x v="2"/>
    <n v="6120"/>
  </r>
  <r>
    <x v="0"/>
    <s v="Střešní tašky"/>
    <x v="4"/>
    <n v="9890"/>
  </r>
  <r>
    <x v="1"/>
    <s v="Sada zahradního nářadí"/>
    <x v="0"/>
    <n v="31926.000000000004"/>
  </r>
  <r>
    <x v="1"/>
    <s v="Truhlík na květiny"/>
    <x v="0"/>
    <n v="1292"/>
  </r>
  <r>
    <x v="1"/>
    <s v="Multifunkční nářadí"/>
    <x v="1"/>
    <n v="67461"/>
  </r>
  <r>
    <x v="1"/>
    <s v="Dřevěné latě"/>
    <x v="4"/>
    <n v="1320"/>
  </r>
  <r>
    <x v="1"/>
    <s v="Zateplovací materiál"/>
    <x v="4"/>
    <n v="1111"/>
  </r>
  <r>
    <x v="1"/>
    <s v="Dekorační polštář"/>
    <x v="2"/>
    <n v="7844"/>
  </r>
  <r>
    <x v="1"/>
    <s v="Stropní ventilátor"/>
    <x v="3"/>
    <n v="96400"/>
  </r>
  <r>
    <x v="1"/>
    <s v="Kompostér"/>
    <x v="0"/>
    <n v="14122"/>
  </r>
  <r>
    <x v="1"/>
    <s v="Lepící pistole"/>
    <x v="1"/>
    <n v="1472"/>
  </r>
  <r>
    <x v="1"/>
    <s v="Cementová malta"/>
    <x v="4"/>
    <n v="3550"/>
  </r>
  <r>
    <x v="1"/>
    <s v="Závěsné světlo"/>
    <x v="3"/>
    <n v="10179"/>
  </r>
  <r>
    <x v="1"/>
    <s v="Sazenice bylinek"/>
    <x v="0"/>
    <n v="1735.9999999999998"/>
  </r>
  <r>
    <x v="1"/>
    <s v="Osvětlení do zahrady"/>
    <x v="3"/>
    <n v="11319"/>
  </r>
  <r>
    <x v="1"/>
    <s v="Aku vrtačka"/>
    <x v="1"/>
    <n v="3068"/>
  </r>
  <r>
    <x v="1"/>
    <s v="Zahradní nůžky"/>
    <x v="0"/>
    <n v="8094"/>
  </r>
  <r>
    <x v="1"/>
    <s v="Bruska na dřevo"/>
    <x v="1"/>
    <n v="59568"/>
  </r>
  <r>
    <x v="1"/>
    <s v="Nástěnné hodiny"/>
    <x v="2"/>
    <n v="7980"/>
  </r>
  <r>
    <x v="1"/>
    <s v="Sádrokartonové desky"/>
    <x v="4"/>
    <n v="1936.0000000000002"/>
  </r>
  <r>
    <x v="1"/>
    <s v="Obrazy na plátno"/>
    <x v="2"/>
    <n v="12008"/>
  </r>
  <r>
    <x v="1"/>
    <s v="Sada šroubováků"/>
    <x v="1"/>
    <n v="6848"/>
  </r>
  <r>
    <x v="1"/>
    <s v="Ruční pila"/>
    <x v="1"/>
    <n v="1090"/>
  </r>
  <r>
    <x v="1"/>
    <s v="Noční osvětlení"/>
    <x v="3"/>
    <n v="6834"/>
  </r>
  <r>
    <x v="1"/>
    <s v="Svícen na stůl"/>
    <x v="2"/>
    <n v="7560.0000000000009"/>
  </r>
  <r>
    <x v="1"/>
    <s v="Střešní tašky"/>
    <x v="4"/>
    <n v="2530"/>
  </r>
  <r>
    <x v="1"/>
    <s v="Zásuvkový modul"/>
    <x v="3"/>
    <n v="2822"/>
  </r>
  <r>
    <x v="1"/>
    <s v="Sada zahradního nářadí"/>
    <x v="0"/>
    <n v="38186"/>
  </r>
  <r>
    <x v="1"/>
    <s v="Truhlík na květiny"/>
    <x v="0"/>
    <n v="8432"/>
  </r>
  <r>
    <x v="1"/>
    <s v="Multifunkční nářadí"/>
    <x v="1"/>
    <n v="44070"/>
  </r>
  <r>
    <x v="1"/>
    <s v="Zateplovací materiál"/>
    <x v="4"/>
    <n v="11918"/>
  </r>
  <r>
    <x v="1"/>
    <s v="Dekorační polštář"/>
    <x v="2"/>
    <n v="2960"/>
  </r>
  <r>
    <x v="1"/>
    <s v="Stropní ventilátor"/>
    <x v="3"/>
    <n v="115680"/>
  </r>
  <r>
    <x v="1"/>
    <s v="Zahradní hadice"/>
    <x v="0"/>
    <n v="8246"/>
  </r>
  <r>
    <x v="1"/>
    <s v="Kompostér"/>
    <x v="0"/>
    <n v="1535"/>
  </r>
  <r>
    <x v="1"/>
    <s v="Lepící pistole"/>
    <x v="1"/>
    <n v="3136"/>
  </r>
  <r>
    <x v="1"/>
    <s v="Cementová malta"/>
    <x v="4"/>
    <n v="3833.9999999999995"/>
  </r>
  <r>
    <x v="1"/>
    <s v="Závěsné světlo"/>
    <x v="3"/>
    <n v="18252"/>
  </r>
  <r>
    <x v="1"/>
    <s v="Sazenice bylinek"/>
    <x v="0"/>
    <n v="1064"/>
  </r>
  <r>
    <x v="1"/>
    <s v="Osvětlení do zahrady"/>
    <x v="3"/>
    <n v="2541"/>
  </r>
  <r>
    <x v="1"/>
    <s v="Aku vrtačka"/>
    <x v="1"/>
    <n v="5900"/>
  </r>
  <r>
    <x v="1"/>
    <s v="Bruska na dřevo"/>
    <x v="1"/>
    <n v="51816"/>
  </r>
  <r>
    <x v="1"/>
    <s v="Nástěnné hodiny"/>
    <x v="2"/>
    <n v="8820"/>
  </r>
  <r>
    <x v="1"/>
    <s v="Sádrokartonové desky"/>
    <x v="4"/>
    <n v="1452.0000000000002"/>
  </r>
  <r>
    <x v="1"/>
    <s v="Obrazy na plátno"/>
    <x v="2"/>
    <n v="1580"/>
  </r>
  <r>
    <x v="1"/>
    <s v="Sada šroubováků"/>
    <x v="1"/>
    <n v="8239"/>
  </r>
  <r>
    <x v="1"/>
    <s v="Hoblík"/>
    <x v="1"/>
    <n v="4960"/>
  </r>
  <r>
    <x v="1"/>
    <s v="Ruční pila"/>
    <x v="1"/>
    <n v="1308"/>
  </r>
  <r>
    <x v="1"/>
    <s v="Betonová směs"/>
    <x v="4"/>
    <n v="84"/>
  </r>
  <r>
    <x v="1"/>
    <s v="Noční osvětlení"/>
    <x v="3"/>
    <n v="23358"/>
  </r>
  <r>
    <x v="1"/>
    <s v="Svícen na stůl"/>
    <x v="2"/>
    <n v="7200"/>
  </r>
  <r>
    <x v="1"/>
    <s v="Koberec do obýváku"/>
    <x v="2"/>
    <n v="15732"/>
  </r>
  <r>
    <x v="1"/>
    <s v="Střešní tašky"/>
    <x v="4"/>
    <n v="7130.0000000000009"/>
  </r>
  <r>
    <x v="1"/>
    <s v="Sada zahradního nářadí"/>
    <x v="0"/>
    <n v="15337.000000000002"/>
  </r>
  <r>
    <x v="1"/>
    <s v="Truhlík na květiny"/>
    <x v="0"/>
    <n v="3196"/>
  </r>
  <r>
    <x v="1"/>
    <s v="Multifunkční nářadí"/>
    <x v="1"/>
    <n v="55596"/>
  </r>
  <r>
    <x v="1"/>
    <s v="Zateplovací materiál"/>
    <x v="4"/>
    <n v="6262"/>
  </r>
  <r>
    <x v="1"/>
    <s v="Dekorační polštář"/>
    <x v="2"/>
    <n v="9620"/>
  </r>
  <r>
    <x v="1"/>
    <s v="Zahradní hadice"/>
    <x v="0"/>
    <n v="9443"/>
  </r>
  <r>
    <x v="1"/>
    <s v="Kompostér"/>
    <x v="0"/>
    <n v="14736"/>
  </r>
  <r>
    <x v="1"/>
    <s v="Lepící pistole"/>
    <x v="1"/>
    <n v="2816"/>
  </r>
  <r>
    <x v="1"/>
    <s v="Cementová malta"/>
    <x v="4"/>
    <n v="2627"/>
  </r>
  <r>
    <x v="1"/>
    <s v="Závěsné světlo"/>
    <x v="3"/>
    <n v="10530"/>
  </r>
  <r>
    <x v="1"/>
    <s v="Sazenice bylinek"/>
    <x v="0"/>
    <n v="5935.9999999999991"/>
  </r>
  <r>
    <x v="1"/>
    <s v="Osvětlení do zahrady"/>
    <x v="3"/>
    <n v="7161"/>
  </r>
  <r>
    <x v="1"/>
    <s v="Aku vrtačka"/>
    <x v="1"/>
    <n v="23836"/>
  </r>
  <r>
    <x v="1"/>
    <s v="Zahradní nůžky"/>
    <x v="0"/>
    <n v="10011"/>
  </r>
  <r>
    <x v="1"/>
    <s v="Bruska na dřevo"/>
    <x v="1"/>
    <n v="31416"/>
  </r>
  <r>
    <x v="1"/>
    <s v="Nástěnné hodiny"/>
    <x v="2"/>
    <n v="3780"/>
  </r>
  <r>
    <x v="1"/>
    <s v="Obrazy na plátno"/>
    <x v="2"/>
    <n v="42976"/>
  </r>
  <r>
    <x v="1"/>
    <s v="Sada šroubováků"/>
    <x v="1"/>
    <n v="20330"/>
  </r>
  <r>
    <x v="1"/>
    <s v="Hoblík"/>
    <x v="1"/>
    <n v="1488"/>
  </r>
  <r>
    <x v="1"/>
    <s v="Ruční pila"/>
    <x v="1"/>
    <n v="545"/>
  </r>
  <r>
    <x v="1"/>
    <s v="Noční osvětlení"/>
    <x v="3"/>
    <n v="22236"/>
  </r>
  <r>
    <x v="1"/>
    <s v="Svícen na stůl"/>
    <x v="2"/>
    <n v="1080"/>
  </r>
  <r>
    <x v="1"/>
    <s v="Střešní tašky"/>
    <x v="4"/>
    <n v="5520"/>
  </r>
  <r>
    <x v="2"/>
    <s v="Sada zahradního nářadí"/>
    <x v="0"/>
    <n v="33804"/>
  </r>
  <r>
    <x v="2"/>
    <s v="Truhlík na květiny"/>
    <x v="0"/>
    <n v="2448"/>
  </r>
  <r>
    <x v="2"/>
    <s v="Multifunkční nářadí"/>
    <x v="1"/>
    <n v="104073"/>
  </r>
  <r>
    <x v="2"/>
    <s v="LED žárovky"/>
    <x v="3"/>
    <n v="927.99999999999989"/>
  </r>
  <r>
    <x v="2"/>
    <s v="Dekorační polštář"/>
    <x v="2"/>
    <n v="5180"/>
  </r>
  <r>
    <x v="2"/>
    <s v="Stropní ventilátor"/>
    <x v="3"/>
    <n v="116644"/>
  </r>
  <r>
    <x v="2"/>
    <s v="Zahradní hadice"/>
    <x v="0"/>
    <n v="6117.9999999999991"/>
  </r>
  <r>
    <x v="2"/>
    <s v="Kompostér"/>
    <x v="0"/>
    <n v="15964"/>
  </r>
  <r>
    <x v="2"/>
    <s v="Lepící pistole"/>
    <x v="1"/>
    <n v="2048"/>
  </r>
  <r>
    <x v="2"/>
    <s v="Rámeček na fotografie"/>
    <x v="2"/>
    <n v="902"/>
  </r>
  <r>
    <x v="2"/>
    <s v="Cementová malta"/>
    <x v="4"/>
    <n v="2840"/>
  </r>
  <r>
    <x v="2"/>
    <s v="Závěsné světlo"/>
    <x v="3"/>
    <n v="16848"/>
  </r>
  <r>
    <x v="2"/>
    <s v="Sazenice bylinek"/>
    <x v="0"/>
    <n v="391.99999999999994"/>
  </r>
  <r>
    <x v="2"/>
    <s v="Osvětlení do zahrady"/>
    <x v="3"/>
    <n v="8316"/>
  </r>
  <r>
    <x v="2"/>
    <s v="Aku vrtačka"/>
    <x v="1"/>
    <n v="4012"/>
  </r>
  <r>
    <x v="2"/>
    <s v="Zahradní nůžky"/>
    <x v="0"/>
    <n v="11928"/>
  </r>
  <r>
    <x v="2"/>
    <s v="Bruska na dřevo"/>
    <x v="1"/>
    <n v="29376"/>
  </r>
  <r>
    <x v="2"/>
    <s v="Nástěnné hodiny"/>
    <x v="2"/>
    <n v="7770"/>
  </r>
  <r>
    <x v="2"/>
    <s v="Sádrokartonové desky"/>
    <x v="4"/>
    <n v="2904.0000000000005"/>
  </r>
  <r>
    <x v="2"/>
    <s v="Obrazy na plátno"/>
    <x v="2"/>
    <n v="66676"/>
  </r>
  <r>
    <x v="2"/>
    <s v="Sada šroubováků"/>
    <x v="1"/>
    <n v="15301"/>
  </r>
  <r>
    <x v="2"/>
    <s v="Noční osvětlení"/>
    <x v="3"/>
    <n v="15096"/>
  </r>
  <r>
    <x v="2"/>
    <s v="Koberec do obýváku"/>
    <x v="2"/>
    <n v="3496"/>
  </r>
  <r>
    <x v="2"/>
    <s v="Postřikovač na trávník"/>
    <x v="0"/>
    <n v="18326"/>
  </r>
  <r>
    <x v="2"/>
    <s v="Střešní tašky"/>
    <x v="4"/>
    <n v="4140"/>
  </r>
  <r>
    <x v="2"/>
    <s v="Zásuvkový modul"/>
    <x v="3"/>
    <n v="1660"/>
  </r>
  <r>
    <x v="2"/>
    <s v="Sada zahradního nářadí"/>
    <x v="0"/>
    <n v="41942"/>
  </r>
  <r>
    <x v="2"/>
    <s v="Truhlík na květiny"/>
    <x v="0"/>
    <n v="2720"/>
  </r>
  <r>
    <x v="2"/>
    <s v="Multifunkční nářadí"/>
    <x v="1"/>
    <n v="58986"/>
  </r>
  <r>
    <x v="2"/>
    <s v="Zateplovací materiál"/>
    <x v="4"/>
    <n v="8282"/>
  </r>
  <r>
    <x v="2"/>
    <s v="Dekorační polštář"/>
    <x v="2"/>
    <n v="3552"/>
  </r>
  <r>
    <x v="2"/>
    <s v="Stropní ventilátor"/>
    <x v="3"/>
    <n v="91580"/>
  </r>
  <r>
    <x v="2"/>
    <s v="Zahradní hadice"/>
    <x v="0"/>
    <n v="14895.999999999998"/>
  </r>
  <r>
    <x v="2"/>
    <s v="Kompostér"/>
    <x v="0"/>
    <n v="7061"/>
  </r>
  <r>
    <x v="2"/>
    <s v="Lepící pistole"/>
    <x v="1"/>
    <n v="448"/>
  </r>
  <r>
    <x v="2"/>
    <s v="Rámeček na fotografie"/>
    <x v="2"/>
    <n v="4510"/>
  </r>
  <r>
    <x v="2"/>
    <s v="Cementová malta"/>
    <x v="4"/>
    <n v="496.99999999999994"/>
  </r>
  <r>
    <x v="2"/>
    <s v="Sazenice bylinek"/>
    <x v="0"/>
    <n v="1623.9999999999998"/>
  </r>
  <r>
    <x v="2"/>
    <s v="Bruska na dřevo"/>
    <x v="1"/>
    <n v="30804"/>
  </r>
  <r>
    <x v="2"/>
    <s v="Nástěnné hodiny"/>
    <x v="2"/>
    <n v="6300"/>
  </r>
  <r>
    <x v="2"/>
    <s v="Sádrokartonové desky"/>
    <x v="4"/>
    <n v="4114"/>
  </r>
  <r>
    <x v="2"/>
    <s v="Obrazy na plátno"/>
    <x v="2"/>
    <n v="7584.0000000000009"/>
  </r>
  <r>
    <x v="2"/>
    <s v="Sada šroubováků"/>
    <x v="1"/>
    <n v="13268"/>
  </r>
  <r>
    <x v="2"/>
    <s v="Ruční pila"/>
    <x v="1"/>
    <n v="2616"/>
  </r>
  <r>
    <x v="2"/>
    <s v="Noční osvětlení"/>
    <x v="3"/>
    <n v="13566"/>
  </r>
  <r>
    <x v="2"/>
    <s v="Svícen na stůl"/>
    <x v="2"/>
    <n v="1980.0000000000002"/>
  </r>
  <r>
    <x v="2"/>
    <s v="Střešní tašky"/>
    <x v="4"/>
    <n v="5750"/>
  </r>
  <r>
    <x v="2"/>
    <s v="Sada zahradního nářadí"/>
    <x v="0"/>
    <n v="35056"/>
  </r>
  <r>
    <x v="2"/>
    <s v="Truhlík na květiny"/>
    <x v="0"/>
    <n v="8500"/>
  </r>
  <r>
    <x v="2"/>
    <s v="Multifunkční nářadí"/>
    <x v="1"/>
    <n v="109158"/>
  </r>
  <r>
    <x v="2"/>
    <s v="Zateplovací materiál"/>
    <x v="4"/>
    <n v="9797"/>
  </r>
  <r>
    <x v="2"/>
    <s v="Dekorační polštář"/>
    <x v="2"/>
    <n v="7844"/>
  </r>
  <r>
    <x v="2"/>
    <s v="Stropní ventilátor"/>
    <x v="3"/>
    <n v="36632"/>
  </r>
  <r>
    <x v="2"/>
    <s v="Zahradní hadice"/>
    <x v="0"/>
    <n v="19950"/>
  </r>
  <r>
    <x v="2"/>
    <s v="Kompostér"/>
    <x v="0"/>
    <n v="7368"/>
  </r>
  <r>
    <x v="2"/>
    <s v="Lepící pistole"/>
    <x v="1"/>
    <n v="384"/>
  </r>
  <r>
    <x v="2"/>
    <s v="Rámeček na fotografie"/>
    <x v="2"/>
    <n v="1968"/>
  </r>
  <r>
    <x v="2"/>
    <s v="Cementová malta"/>
    <x v="4"/>
    <n v="2627"/>
  </r>
  <r>
    <x v="2"/>
    <s v="Závěsné světlo"/>
    <x v="3"/>
    <n v="5616"/>
  </r>
  <r>
    <x v="2"/>
    <s v="Sazenice bylinek"/>
    <x v="0"/>
    <n v="1679.9999999999998"/>
  </r>
  <r>
    <x v="2"/>
    <s v="Aku vrtačka"/>
    <x v="1"/>
    <n v="8260"/>
  </r>
  <r>
    <x v="2"/>
    <s v="Zahradní nůžky"/>
    <x v="0"/>
    <n v="18318"/>
  </r>
  <r>
    <x v="2"/>
    <s v="Bruska na dřevo"/>
    <x v="1"/>
    <n v="41820"/>
  </r>
  <r>
    <x v="2"/>
    <s v="Nástěnné hodiny"/>
    <x v="2"/>
    <n v="2100"/>
  </r>
  <r>
    <x v="2"/>
    <s v="Sádrokartonové desky"/>
    <x v="4"/>
    <n v="605"/>
  </r>
  <r>
    <x v="2"/>
    <s v="Obrazy na plátno"/>
    <x v="2"/>
    <n v="42028"/>
  </r>
  <r>
    <x v="2"/>
    <s v="Sada šroubováků"/>
    <x v="1"/>
    <n v="28355"/>
  </r>
  <r>
    <x v="2"/>
    <s v="Ruční pila"/>
    <x v="1"/>
    <n v="6104"/>
  </r>
  <r>
    <x v="2"/>
    <s v="Noční osvětlení"/>
    <x v="3"/>
    <n v="11220"/>
  </r>
  <r>
    <x v="2"/>
    <s v="Svícen na stůl"/>
    <x v="2"/>
    <n v="12600"/>
  </r>
  <r>
    <x v="3"/>
    <s v="Sada zahradního nářadí"/>
    <x v="0"/>
    <n v="13772"/>
  </r>
  <r>
    <x v="3"/>
    <s v="Truhlík na květiny"/>
    <x v="0"/>
    <n v="884"/>
  </r>
  <r>
    <x v="3"/>
    <s v="Multifunkční nářadí"/>
    <x v="1"/>
    <n v="70512"/>
  </r>
  <r>
    <x v="3"/>
    <s v="LED žárovky"/>
    <x v="3"/>
    <n v="695.99999999999989"/>
  </r>
  <r>
    <x v="3"/>
    <s v="Dekorační polštář"/>
    <x v="2"/>
    <n v="6068"/>
  </r>
  <r>
    <x v="3"/>
    <s v="Stropní ventilátor"/>
    <x v="3"/>
    <n v="77120"/>
  </r>
  <r>
    <x v="3"/>
    <s v="Zahradní hadice"/>
    <x v="0"/>
    <n v="2261"/>
  </r>
  <r>
    <x v="3"/>
    <s v="Kompostér"/>
    <x v="0"/>
    <n v="7368"/>
  </r>
  <r>
    <x v="3"/>
    <s v="Lepící pistole"/>
    <x v="1"/>
    <n v="4864"/>
  </r>
  <r>
    <x v="3"/>
    <s v="Rámeček na fotografie"/>
    <x v="2"/>
    <n v="3526"/>
  </r>
  <r>
    <x v="3"/>
    <s v="Cementová malta"/>
    <x v="4"/>
    <n v="2201"/>
  </r>
  <r>
    <x v="3"/>
    <s v="Závěsné světlo"/>
    <x v="3"/>
    <n v="13338"/>
  </r>
  <r>
    <x v="3"/>
    <s v="Sazenice bylinek"/>
    <x v="0"/>
    <n v="671.99999999999989"/>
  </r>
  <r>
    <x v="3"/>
    <s v="Osvětlení do zahrady"/>
    <x v="3"/>
    <n v="1155"/>
  </r>
  <r>
    <x v="3"/>
    <s v="Zahradní nůžky"/>
    <x v="0"/>
    <n v="11715"/>
  </r>
  <r>
    <x v="3"/>
    <s v="Bruska na dřevo"/>
    <x v="1"/>
    <n v="42024"/>
  </r>
  <r>
    <x v="3"/>
    <s v="Nástěnné hodiny"/>
    <x v="2"/>
    <n v="2100"/>
  </r>
  <r>
    <x v="3"/>
    <s v="Podlahová lampa"/>
    <x v="3"/>
    <n v="2856"/>
  </r>
  <r>
    <x v="3"/>
    <s v="Sádrokartonové desky"/>
    <x v="4"/>
    <n v="1331"/>
  </r>
  <r>
    <x v="3"/>
    <s v="Obrazy na plátno"/>
    <x v="2"/>
    <n v="9796"/>
  </r>
  <r>
    <x v="3"/>
    <s v="Sada šroubováků"/>
    <x v="1"/>
    <n v="6206"/>
  </r>
  <r>
    <x v="3"/>
    <s v="Ruční pila"/>
    <x v="1"/>
    <n v="1853"/>
  </r>
  <r>
    <x v="3"/>
    <s v="Noční osvětlení"/>
    <x v="3"/>
    <n v="8568"/>
  </r>
  <r>
    <x v="3"/>
    <s v="Svícen na stůl"/>
    <x v="2"/>
    <n v="5580"/>
  </r>
  <r>
    <x v="3"/>
    <s v="Koberec do obýváku"/>
    <x v="2"/>
    <n v="10925"/>
  </r>
  <r>
    <x v="3"/>
    <s v="Střešní tašky"/>
    <x v="4"/>
    <n v="1150"/>
  </r>
  <r>
    <x v="3"/>
    <s v="Zásuvkový modul"/>
    <x v="3"/>
    <n v="5312"/>
  </r>
  <r>
    <x v="3"/>
    <s v="Sada zahradního nářadí"/>
    <x v="0"/>
    <n v="19093"/>
  </r>
  <r>
    <x v="3"/>
    <s v="Truhlík na květiny"/>
    <x v="0"/>
    <n v="4148"/>
  </r>
  <r>
    <x v="3"/>
    <s v="Multifunkční nářadí"/>
    <x v="1"/>
    <n v="81699"/>
  </r>
  <r>
    <x v="3"/>
    <s v="Zateplovací materiál"/>
    <x v="4"/>
    <n v="3030"/>
  </r>
  <r>
    <x v="3"/>
    <s v="Dekorační polštář"/>
    <x v="2"/>
    <n v="5032"/>
  </r>
  <r>
    <x v="3"/>
    <s v="Stropní ventilátor"/>
    <x v="3"/>
    <n v="24100"/>
  </r>
  <r>
    <x v="3"/>
    <s v="Zahradní hadice"/>
    <x v="0"/>
    <n v="3324.9999999999995"/>
  </r>
  <r>
    <x v="3"/>
    <s v="Kompostér"/>
    <x v="0"/>
    <n v="1535"/>
  </r>
  <r>
    <x v="3"/>
    <s v="Lepící pistole"/>
    <x v="1"/>
    <n v="3072"/>
  </r>
  <r>
    <x v="3"/>
    <s v="Rámeček na fotografie"/>
    <x v="2"/>
    <n v="1394"/>
  </r>
  <r>
    <x v="3"/>
    <s v="Cementová malta"/>
    <x v="4"/>
    <n v="2201"/>
  </r>
  <r>
    <x v="3"/>
    <s v="Závěsné světlo"/>
    <x v="3"/>
    <n v="12636"/>
  </r>
  <r>
    <x v="3"/>
    <s v="Sazenice bylinek"/>
    <x v="0"/>
    <n v="223.99999999999997"/>
  </r>
  <r>
    <x v="3"/>
    <s v="Aku vrtačka"/>
    <x v="1"/>
    <n v="9676"/>
  </r>
  <r>
    <x v="3"/>
    <s v="Bruska na dřevo"/>
    <x v="1"/>
    <n v="30396"/>
  </r>
  <r>
    <x v="3"/>
    <s v="Nástěnné hodiny"/>
    <x v="2"/>
    <n v="7560"/>
  </r>
  <r>
    <x v="3"/>
    <s v="Sádrokartonové desky"/>
    <x v="4"/>
    <n v="1694.0000000000002"/>
  </r>
  <r>
    <x v="3"/>
    <s v="Obrazy na plátno"/>
    <x v="2"/>
    <n v="18644"/>
  </r>
  <r>
    <x v="3"/>
    <s v="Sada šroubováků"/>
    <x v="1"/>
    <n v="12412"/>
  </r>
  <r>
    <x v="3"/>
    <s v="Ruční pila"/>
    <x v="1"/>
    <n v="4469"/>
  </r>
  <r>
    <x v="3"/>
    <s v="Noční osvětlení"/>
    <x v="3"/>
    <n v="7344"/>
  </r>
  <r>
    <x v="3"/>
    <s v="Svícen na stůl"/>
    <x v="2"/>
    <n v="6120"/>
  </r>
  <r>
    <x v="3"/>
    <s v="Sada zahradního nářadí"/>
    <x v="0"/>
    <n v="46950"/>
  </r>
  <r>
    <x v="3"/>
    <s v="Truhlík na květiny"/>
    <x v="0"/>
    <n v="1700"/>
  </r>
  <r>
    <x v="3"/>
    <s v="Multifunkční nářadí"/>
    <x v="1"/>
    <n v="111531"/>
  </r>
  <r>
    <x v="3"/>
    <s v="Zateplovací materiál"/>
    <x v="4"/>
    <n v="9696"/>
  </r>
  <r>
    <x v="3"/>
    <s v="Dekorační polštář"/>
    <x v="2"/>
    <n v="10508"/>
  </r>
  <r>
    <x v="3"/>
    <s v="Stropní ventilátor"/>
    <x v="3"/>
    <n v="64588"/>
  </r>
  <r>
    <x v="3"/>
    <s v="Zahradní hadice"/>
    <x v="0"/>
    <n v="19817"/>
  </r>
  <r>
    <x v="3"/>
    <s v="Kompostér"/>
    <x v="0"/>
    <n v="35612"/>
  </r>
  <r>
    <x v="3"/>
    <s v="Lepící pistole"/>
    <x v="1"/>
    <n v="5056"/>
  </r>
  <r>
    <x v="3"/>
    <s v="Rámeček na fotografie"/>
    <x v="2"/>
    <n v="2460"/>
  </r>
  <r>
    <x v="3"/>
    <s v="Závěsné světlo"/>
    <x v="3"/>
    <n v="33345"/>
  </r>
  <r>
    <x v="3"/>
    <s v="Sazenice bylinek"/>
    <x v="0"/>
    <n v="895.99999999999989"/>
  </r>
  <r>
    <x v="3"/>
    <s v="Osvětlení do zahrady"/>
    <x v="3"/>
    <n v="461.99999999999994"/>
  </r>
  <r>
    <x v="3"/>
    <s v="Aku vrtačka"/>
    <x v="1"/>
    <n v="3304"/>
  </r>
  <r>
    <x v="3"/>
    <s v="Zahradní nůžky"/>
    <x v="0"/>
    <n v="28116"/>
  </r>
  <r>
    <x v="3"/>
    <s v="Bruska na dřevo"/>
    <x v="1"/>
    <n v="58344"/>
  </r>
  <r>
    <x v="3"/>
    <s v="Obrazy na plátno"/>
    <x v="2"/>
    <n v="8216"/>
  </r>
  <r>
    <x v="3"/>
    <s v="Sada šroubováků"/>
    <x v="1"/>
    <n v="26215"/>
  </r>
  <r>
    <x v="3"/>
    <s v="Hoblík"/>
    <x v="1"/>
    <n v="5952"/>
  </r>
  <r>
    <x v="3"/>
    <s v="Ruční pila"/>
    <x v="1"/>
    <n v="5995"/>
  </r>
  <r>
    <x v="3"/>
    <s v="Betonová směs"/>
    <x v="4"/>
    <n v="336"/>
  </r>
  <r>
    <x v="3"/>
    <s v="Noční osvětlení"/>
    <x v="3"/>
    <n v="9792"/>
  </r>
  <r>
    <x v="3"/>
    <s v="Svícen na stůl"/>
    <x v="2"/>
    <n v="13680"/>
  </r>
  <r>
    <x v="3"/>
    <s v="Postřikovač na trávník"/>
    <x v="0"/>
    <n v="3808"/>
  </r>
  <r>
    <x v="3"/>
    <s v="Střešní tašky"/>
    <x v="4"/>
    <n v="14720.000000000002"/>
  </r>
  <r>
    <x v="4"/>
    <s v="Sada zahradního nářadí"/>
    <x v="0"/>
    <n v="29735"/>
  </r>
  <r>
    <x v="4"/>
    <s v="Truhlík na květiny"/>
    <x v="0"/>
    <n v="1564"/>
  </r>
  <r>
    <x v="4"/>
    <s v="Multifunkční nářadí"/>
    <x v="1"/>
    <n v="32883"/>
  </r>
  <r>
    <x v="4"/>
    <s v="Zateplovací materiál"/>
    <x v="4"/>
    <n v="5656"/>
  </r>
  <r>
    <x v="4"/>
    <s v="Dekorační polštář"/>
    <x v="2"/>
    <n v="2072"/>
  </r>
  <r>
    <x v="4"/>
    <s v="Stropní ventilátor"/>
    <x v="3"/>
    <n v="152312"/>
  </r>
  <r>
    <x v="4"/>
    <s v="Zahradní hadice"/>
    <x v="0"/>
    <n v="14230.999999999998"/>
  </r>
  <r>
    <x v="4"/>
    <s v="Kompostér"/>
    <x v="0"/>
    <n v="10438"/>
  </r>
  <r>
    <x v="4"/>
    <s v="Lepící pistole"/>
    <x v="1"/>
    <n v="7936"/>
  </r>
  <r>
    <x v="4"/>
    <s v="Rámeček na fotografie"/>
    <x v="2"/>
    <n v="410"/>
  </r>
  <r>
    <x v="4"/>
    <s v="Cementová malta"/>
    <x v="4"/>
    <n v="2272"/>
  </r>
  <r>
    <x v="4"/>
    <s v="Závěsné světlo"/>
    <x v="3"/>
    <n v="16848"/>
  </r>
  <r>
    <x v="4"/>
    <s v="Sazenice bylinek"/>
    <x v="0"/>
    <n v="1064"/>
  </r>
  <r>
    <x v="4"/>
    <s v="Zahradní nůžky"/>
    <x v="0"/>
    <n v="20874"/>
  </r>
  <r>
    <x v="4"/>
    <s v="Bruska na dřevo"/>
    <x v="1"/>
    <n v="54672"/>
  </r>
  <r>
    <x v="4"/>
    <s v="Nástěnné hodiny"/>
    <x v="2"/>
    <n v="10080"/>
  </r>
  <r>
    <x v="4"/>
    <s v="Sádrokartonové desky"/>
    <x v="4"/>
    <n v="9438"/>
  </r>
  <r>
    <x v="4"/>
    <s v="Obrazy na plátno"/>
    <x v="2"/>
    <n v="5688"/>
  </r>
  <r>
    <x v="4"/>
    <s v="Sada šroubováků"/>
    <x v="1"/>
    <n v="27606"/>
  </r>
  <r>
    <x v="4"/>
    <s v="Hoblík"/>
    <x v="1"/>
    <n v="4216"/>
  </r>
  <r>
    <x v="4"/>
    <s v="Ruční pila"/>
    <x v="1"/>
    <n v="1090"/>
  </r>
  <r>
    <x v="4"/>
    <s v="Noční osvětlení"/>
    <x v="3"/>
    <n v="3162"/>
  </r>
  <r>
    <x v="4"/>
    <s v="Svícen na stůl"/>
    <x v="2"/>
    <n v="12240"/>
  </r>
  <r>
    <x v="4"/>
    <s v="Postřikovač na trávník"/>
    <x v="0"/>
    <n v="10948"/>
  </r>
  <r>
    <x v="4"/>
    <s v="Zásuvkový modul"/>
    <x v="3"/>
    <n v="2822"/>
  </r>
  <r>
    <x v="4"/>
    <s v="Sada zahradního nářadí"/>
    <x v="0"/>
    <n v="39125"/>
  </r>
  <r>
    <x v="4"/>
    <s v="Truhlík na květiny"/>
    <x v="0"/>
    <n v="5236"/>
  </r>
  <r>
    <x v="4"/>
    <s v="Multifunkční nářadí"/>
    <x v="1"/>
    <n v="89835"/>
  </r>
  <r>
    <x v="4"/>
    <s v="Zateplovací materiál"/>
    <x v="4"/>
    <n v="5656"/>
  </r>
  <r>
    <x v="4"/>
    <s v="Dekorační polštář"/>
    <x v="2"/>
    <n v="6512"/>
  </r>
  <r>
    <x v="4"/>
    <s v="Stropní ventilátor"/>
    <x v="3"/>
    <n v="108932"/>
  </r>
  <r>
    <x v="4"/>
    <s v="Zahradní hadice"/>
    <x v="0"/>
    <n v="15294.999999999998"/>
  </r>
  <r>
    <x v="4"/>
    <s v="Kompostér"/>
    <x v="0"/>
    <n v="9517"/>
  </r>
  <r>
    <x v="4"/>
    <s v="Lepící pistole"/>
    <x v="1"/>
    <n v="2624"/>
  </r>
  <r>
    <x v="4"/>
    <s v="Rámeček na fotografie"/>
    <x v="2"/>
    <n v="4428"/>
  </r>
  <r>
    <x v="4"/>
    <s v="Cementová malta"/>
    <x v="4"/>
    <n v="5893"/>
  </r>
  <r>
    <x v="4"/>
    <s v="Závěsné světlo"/>
    <x v="3"/>
    <n v="13338"/>
  </r>
  <r>
    <x v="4"/>
    <s v="Sazenice bylinek"/>
    <x v="0"/>
    <n v="783.99999999999989"/>
  </r>
  <r>
    <x v="4"/>
    <s v="Osvětlení do zahrady"/>
    <x v="3"/>
    <n v="3234"/>
  </r>
  <r>
    <x v="4"/>
    <s v="Aku vrtačka"/>
    <x v="1"/>
    <n v="6136"/>
  </r>
  <r>
    <x v="4"/>
    <s v="Zahradní nůžky"/>
    <x v="0"/>
    <n v="5538"/>
  </r>
  <r>
    <x v="4"/>
    <s v="Bruska na dřevo"/>
    <x v="1"/>
    <n v="37536"/>
  </r>
  <r>
    <x v="4"/>
    <s v="Sádrokartonové desky"/>
    <x v="4"/>
    <n v="3388.0000000000005"/>
  </r>
  <r>
    <x v="4"/>
    <s v="Obrazy na plátno"/>
    <x v="2"/>
    <n v="38552"/>
  </r>
  <r>
    <x v="4"/>
    <s v="Sada šroubováků"/>
    <x v="1"/>
    <n v="14873"/>
  </r>
  <r>
    <x v="4"/>
    <s v="Ruční pila"/>
    <x v="1"/>
    <n v="5232"/>
  </r>
  <r>
    <x v="4"/>
    <s v="Noční osvětlení"/>
    <x v="3"/>
    <n v="5712"/>
  </r>
  <r>
    <x v="4"/>
    <s v="Svícen na stůl"/>
    <x v="2"/>
    <n v="6480"/>
  </r>
  <r>
    <x v="4"/>
    <s v="Sada zahradního nářadí"/>
    <x v="0"/>
    <n v="26918"/>
  </r>
  <r>
    <x v="4"/>
    <s v="Truhlík na květiny"/>
    <x v="0"/>
    <n v="7684"/>
  </r>
  <r>
    <x v="4"/>
    <s v="Multifunkční nářadí"/>
    <x v="1"/>
    <n v="64410"/>
  </r>
  <r>
    <x v="4"/>
    <s v="Zateplovací materiál"/>
    <x v="4"/>
    <n v="9494"/>
  </r>
  <r>
    <x v="4"/>
    <s v="Dekorační polštář"/>
    <x v="2"/>
    <n v="18500"/>
  </r>
  <r>
    <x v="4"/>
    <s v="Stropní ventilátor"/>
    <x v="3"/>
    <n v="6748"/>
  </r>
  <r>
    <x v="4"/>
    <s v="Zahradní hadice"/>
    <x v="0"/>
    <n v="11703.999999999998"/>
  </r>
  <r>
    <x v="4"/>
    <s v="Kompostér"/>
    <x v="0"/>
    <n v="38682"/>
  </r>
  <r>
    <x v="4"/>
    <s v="Lepící pistole"/>
    <x v="1"/>
    <n v="2688"/>
  </r>
  <r>
    <x v="4"/>
    <s v="Rámeček na fotografie"/>
    <x v="2"/>
    <n v="4510"/>
  </r>
  <r>
    <x v="4"/>
    <s v="Cementová malta"/>
    <x v="4"/>
    <n v="2698"/>
  </r>
  <r>
    <x v="4"/>
    <s v="Závěsné světlo"/>
    <x v="3"/>
    <n v="33696"/>
  </r>
  <r>
    <x v="4"/>
    <s v="Sazenice bylinek"/>
    <x v="0"/>
    <n v="4368"/>
  </r>
  <r>
    <x v="4"/>
    <s v="Osvětlení do zahrady"/>
    <x v="3"/>
    <n v="4158"/>
  </r>
  <r>
    <x v="4"/>
    <s v="Aku vrtačka"/>
    <x v="1"/>
    <n v="18172"/>
  </r>
  <r>
    <x v="4"/>
    <s v="Zahradní nůžky"/>
    <x v="0"/>
    <n v="35784"/>
  </r>
  <r>
    <x v="4"/>
    <s v="Bruska na dřevo"/>
    <x v="1"/>
    <n v="24276"/>
  </r>
  <r>
    <x v="4"/>
    <s v="Nástěnné hodiny"/>
    <x v="2"/>
    <n v="2310"/>
  </r>
  <r>
    <x v="4"/>
    <s v="Sádrokartonové desky"/>
    <x v="4"/>
    <n v="1210"/>
  </r>
  <r>
    <x v="4"/>
    <s v="Obrazy na plátno"/>
    <x v="2"/>
    <n v="27808"/>
  </r>
  <r>
    <x v="4"/>
    <s v="Sada šroubováků"/>
    <x v="1"/>
    <n v="30816"/>
  </r>
  <r>
    <x v="4"/>
    <s v="Hoblík"/>
    <x v="1"/>
    <n v="15128"/>
  </r>
  <r>
    <x v="4"/>
    <s v="Ruční pila"/>
    <x v="1"/>
    <n v="5777"/>
  </r>
  <r>
    <x v="4"/>
    <s v="Betonová směs"/>
    <x v="4"/>
    <n v="147"/>
  </r>
  <r>
    <x v="4"/>
    <s v="Noční osvětlení"/>
    <x v="3"/>
    <n v="18258"/>
  </r>
  <r>
    <x v="4"/>
    <s v="Svícen na stůl"/>
    <x v="2"/>
    <n v="29880.000000000004"/>
  </r>
  <r>
    <x v="4"/>
    <s v="Koberec do obýváku"/>
    <x v="2"/>
    <n v="3496"/>
  </r>
  <r>
    <x v="4"/>
    <s v="Postřikovač na trávník"/>
    <x v="0"/>
    <n v="6188"/>
  </r>
  <r>
    <x v="4"/>
    <s v="Střešní tašky"/>
    <x v="4"/>
    <n v="13340"/>
  </r>
  <r>
    <x v="5"/>
    <s v="Sada zahradního nářadí"/>
    <x v="0"/>
    <n v="9703"/>
  </r>
  <r>
    <x v="5"/>
    <s v="Truhlík na květiny"/>
    <x v="0"/>
    <n v="1700"/>
  </r>
  <r>
    <x v="5"/>
    <s v="Multifunkční nářadí"/>
    <x v="1"/>
    <n v="54240"/>
  </r>
  <r>
    <x v="5"/>
    <s v="LED žárovky"/>
    <x v="3"/>
    <n v="1623.9999999999998"/>
  </r>
  <r>
    <x v="5"/>
    <s v="Zateplovací materiál"/>
    <x v="4"/>
    <n v="4343"/>
  </r>
  <r>
    <x v="5"/>
    <s v="Dekorační polštář"/>
    <x v="2"/>
    <n v="1036"/>
  </r>
  <r>
    <x v="5"/>
    <s v="Stropní ventilátor"/>
    <x v="3"/>
    <n v="71336"/>
  </r>
  <r>
    <x v="5"/>
    <s v="Zahradní hadice"/>
    <x v="0"/>
    <n v="7048.9999999999991"/>
  </r>
  <r>
    <x v="5"/>
    <s v="Kompostér"/>
    <x v="0"/>
    <n v="1842"/>
  </r>
  <r>
    <x v="5"/>
    <s v="Lepící pistole"/>
    <x v="1"/>
    <n v="384"/>
  </r>
  <r>
    <x v="5"/>
    <s v="Rámeček na fotografie"/>
    <x v="2"/>
    <n v="656"/>
  </r>
  <r>
    <x v="5"/>
    <s v="Cementová malta"/>
    <x v="4"/>
    <n v="781"/>
  </r>
  <r>
    <x v="5"/>
    <s v="Závěsné světlo"/>
    <x v="3"/>
    <n v="9828"/>
  </r>
  <r>
    <x v="5"/>
    <s v="Aku vrtačka"/>
    <x v="1"/>
    <n v="7080"/>
  </r>
  <r>
    <x v="5"/>
    <s v="Zahradní nůžky"/>
    <x v="0"/>
    <n v="15123"/>
  </r>
  <r>
    <x v="5"/>
    <s v="Bruska na dřevo"/>
    <x v="1"/>
    <n v="32232"/>
  </r>
  <r>
    <x v="5"/>
    <s v="Závěsné květináče"/>
    <x v="2"/>
    <n v="809.99999999999989"/>
  </r>
  <r>
    <x v="5"/>
    <s v="Nástěnné hodiny"/>
    <x v="2"/>
    <n v="5040"/>
  </r>
  <r>
    <x v="5"/>
    <s v="Podlahová lampa"/>
    <x v="3"/>
    <n v="2856"/>
  </r>
  <r>
    <x v="5"/>
    <s v="Sádrokartonové desky"/>
    <x v="4"/>
    <n v="1694.0000000000002"/>
  </r>
  <r>
    <x v="5"/>
    <s v="Obrazy na plátno"/>
    <x v="2"/>
    <n v="2212"/>
  </r>
  <r>
    <x v="5"/>
    <s v="Sada šroubováků"/>
    <x v="1"/>
    <n v="17441"/>
  </r>
  <r>
    <x v="5"/>
    <s v="Ruční pila"/>
    <x v="1"/>
    <n v="1853"/>
  </r>
  <r>
    <x v="5"/>
    <s v="Noční osvětlení"/>
    <x v="3"/>
    <n v="4488"/>
  </r>
  <r>
    <x v="5"/>
    <s v="Svícen na stůl"/>
    <x v="2"/>
    <n v="17100"/>
  </r>
  <r>
    <x v="5"/>
    <s v="Koberec do obýváku"/>
    <x v="2"/>
    <n v="7429"/>
  </r>
  <r>
    <x v="5"/>
    <s v="Postřikovač na trávník"/>
    <x v="0"/>
    <n v="1904"/>
  </r>
  <r>
    <x v="5"/>
    <s v="Zásuvkový modul"/>
    <x v="3"/>
    <n v="2158"/>
  </r>
  <r>
    <x v="5"/>
    <s v="Sada zahradního nářadí"/>
    <x v="0"/>
    <n v="19406"/>
  </r>
  <r>
    <x v="5"/>
    <s v="Truhlík na květiny"/>
    <x v="0"/>
    <n v="1156"/>
  </r>
  <r>
    <x v="5"/>
    <s v="Multifunkční nářadí"/>
    <x v="1"/>
    <n v="22035"/>
  </r>
  <r>
    <x v="5"/>
    <s v="Zateplovací materiál"/>
    <x v="4"/>
    <n v="5555"/>
  </r>
  <r>
    <x v="5"/>
    <s v="Stropní ventilátor"/>
    <x v="3"/>
    <n v="103148"/>
  </r>
  <r>
    <x v="5"/>
    <s v="Zahradní hadice"/>
    <x v="0"/>
    <n v="11172"/>
  </r>
  <r>
    <x v="5"/>
    <s v="Kompostér"/>
    <x v="0"/>
    <n v="8903"/>
  </r>
  <r>
    <x v="5"/>
    <s v="Lepící pistole"/>
    <x v="1"/>
    <n v="320"/>
  </r>
  <r>
    <x v="5"/>
    <s v="Cementová malta"/>
    <x v="4"/>
    <n v="3479"/>
  </r>
  <r>
    <x v="5"/>
    <s v="Závěsné světlo"/>
    <x v="3"/>
    <n v="5616"/>
  </r>
  <r>
    <x v="5"/>
    <s v="Sazenice bylinek"/>
    <x v="0"/>
    <n v="1287.9999999999998"/>
  </r>
  <r>
    <x v="5"/>
    <s v="Osvětlení do zahrady"/>
    <x v="3"/>
    <n v="2541"/>
  </r>
  <r>
    <x v="5"/>
    <s v="Aku vrtačka"/>
    <x v="1"/>
    <n v="2360"/>
  </r>
  <r>
    <x v="5"/>
    <s v="Zahradní nůžky"/>
    <x v="0"/>
    <n v="3621"/>
  </r>
  <r>
    <x v="5"/>
    <s v="Bruska na dřevo"/>
    <x v="1"/>
    <n v="22440"/>
  </r>
  <r>
    <x v="5"/>
    <s v="Nástěnné hodiny"/>
    <x v="2"/>
    <n v="12600"/>
  </r>
  <r>
    <x v="5"/>
    <s v="Sádrokartonové desky"/>
    <x v="4"/>
    <n v="4477"/>
  </r>
  <r>
    <x v="5"/>
    <s v="Obrazy na plátno"/>
    <x v="2"/>
    <n v="5056"/>
  </r>
  <r>
    <x v="5"/>
    <s v="Sada šroubováků"/>
    <x v="1"/>
    <n v="6313"/>
  </r>
  <r>
    <x v="5"/>
    <s v="Ruční pila"/>
    <x v="1"/>
    <n v="2180"/>
  </r>
  <r>
    <x v="5"/>
    <s v="Noční osvětlení"/>
    <x v="3"/>
    <n v="5100"/>
  </r>
  <r>
    <x v="5"/>
    <s v="Sada zahradního nářadí"/>
    <x v="0"/>
    <n v="53210"/>
  </r>
  <r>
    <x v="5"/>
    <s v="Truhlík na květiny"/>
    <x v="0"/>
    <n v="5576"/>
  </r>
  <r>
    <x v="5"/>
    <s v="Multifunkční nářadí"/>
    <x v="1"/>
    <n v="76953"/>
  </r>
  <r>
    <x v="5"/>
    <s v="Zateplovací materiál"/>
    <x v="4"/>
    <n v="14645"/>
  </r>
  <r>
    <x v="5"/>
    <s v="Dekorační polštář"/>
    <x v="2"/>
    <n v="6216"/>
  </r>
  <r>
    <x v="5"/>
    <s v="Stropní ventilátor"/>
    <x v="3"/>
    <n v="25064"/>
  </r>
  <r>
    <x v="5"/>
    <s v="Zahradní hadice"/>
    <x v="0"/>
    <n v="21812"/>
  </r>
  <r>
    <x v="5"/>
    <s v="Kompostér"/>
    <x v="0"/>
    <n v="33156"/>
  </r>
  <r>
    <x v="5"/>
    <s v="Lepící pistole"/>
    <x v="1"/>
    <n v="1152"/>
  </r>
  <r>
    <x v="5"/>
    <s v="Rámeček na fotografie"/>
    <x v="2"/>
    <n v="1968"/>
  </r>
  <r>
    <x v="5"/>
    <s v="Cementová malta"/>
    <x v="4"/>
    <n v="2698"/>
  </r>
  <r>
    <x v="5"/>
    <s v="Závěsné světlo"/>
    <x v="3"/>
    <n v="5616"/>
  </r>
  <r>
    <x v="5"/>
    <s v="Sazenice bylinek"/>
    <x v="0"/>
    <n v="671.99999999999989"/>
  </r>
  <r>
    <x v="5"/>
    <s v="Osvětlení do zahrady"/>
    <x v="3"/>
    <n v="6699"/>
  </r>
  <r>
    <x v="5"/>
    <s v="Aku vrtačka"/>
    <x v="1"/>
    <n v="8968"/>
  </r>
  <r>
    <x v="5"/>
    <s v="Zahradní nůžky"/>
    <x v="0"/>
    <n v="46221"/>
  </r>
  <r>
    <x v="5"/>
    <s v="Bruska na dřevo"/>
    <x v="1"/>
    <n v="29580"/>
  </r>
  <r>
    <x v="5"/>
    <s v="Sádrokartonové desky"/>
    <x v="4"/>
    <n v="1331"/>
  </r>
  <r>
    <x v="5"/>
    <s v="Obrazy na plátno"/>
    <x v="2"/>
    <n v="11692"/>
  </r>
  <r>
    <x v="5"/>
    <s v="Sada šroubováků"/>
    <x v="1"/>
    <n v="21079"/>
  </r>
  <r>
    <x v="5"/>
    <s v="Hoblík"/>
    <x v="1"/>
    <n v="8680"/>
  </r>
  <r>
    <x v="5"/>
    <s v="Ruční pila"/>
    <x v="1"/>
    <n v="6540"/>
  </r>
  <r>
    <x v="5"/>
    <s v="Betonová směs"/>
    <x v="4"/>
    <n v="1134"/>
  </r>
  <r>
    <x v="5"/>
    <s v="Noční osvětlení"/>
    <x v="3"/>
    <n v="4080"/>
  </r>
  <r>
    <x v="5"/>
    <s v="Svícen na stůl"/>
    <x v="2"/>
    <n v="5760"/>
  </r>
  <r>
    <x v="5"/>
    <s v="Postřikovač na trávník"/>
    <x v="0"/>
    <n v="3094"/>
  </r>
  <r>
    <x v="5"/>
    <s v="Střešní tašky"/>
    <x v="4"/>
    <n v="3680.0000000000005"/>
  </r>
  <r>
    <x v="6"/>
    <s v="Sada zahradního nářadí"/>
    <x v="0"/>
    <n v="16902"/>
  </r>
  <r>
    <x v="6"/>
    <s v="Truhlík na květiny"/>
    <x v="0"/>
    <n v="2380"/>
  </r>
  <r>
    <x v="6"/>
    <s v="Multifunkční nářadí"/>
    <x v="1"/>
    <n v="49155"/>
  </r>
  <r>
    <x v="6"/>
    <s v="Dřevěné latě"/>
    <x v="4"/>
    <n v="1452"/>
  </r>
  <r>
    <x v="6"/>
    <s v="Zateplovací materiál"/>
    <x v="4"/>
    <n v="17776"/>
  </r>
  <r>
    <x v="6"/>
    <s v="Dekorační polštář"/>
    <x v="2"/>
    <n v="5328"/>
  </r>
  <r>
    <x v="6"/>
    <s v="Stropní ventilátor"/>
    <x v="3"/>
    <n v="102184"/>
  </r>
  <r>
    <x v="6"/>
    <s v="Zahradní hadice"/>
    <x v="0"/>
    <n v="10640"/>
  </r>
  <r>
    <x v="6"/>
    <s v="Kompostér"/>
    <x v="0"/>
    <n v="10438"/>
  </r>
  <r>
    <x v="6"/>
    <s v="Lepící pistole"/>
    <x v="1"/>
    <n v="3072"/>
  </r>
  <r>
    <x v="6"/>
    <s v="Rámeček na fotografie"/>
    <x v="2"/>
    <n v="3280"/>
  </r>
  <r>
    <x v="6"/>
    <s v="Cementová malta"/>
    <x v="4"/>
    <n v="568"/>
  </r>
  <r>
    <x v="6"/>
    <s v="Sazenice bylinek"/>
    <x v="0"/>
    <n v="727.99999999999989"/>
  </r>
  <r>
    <x v="6"/>
    <s v="Osvětlení do zahrady"/>
    <x v="3"/>
    <n v="461.99999999999994"/>
  </r>
  <r>
    <x v="6"/>
    <s v="Aku vrtačka"/>
    <x v="1"/>
    <n v="9440"/>
  </r>
  <r>
    <x v="6"/>
    <s v="Zahradní nůžky"/>
    <x v="0"/>
    <n v="7242"/>
  </r>
  <r>
    <x v="6"/>
    <s v="Bruska na dřevo"/>
    <x v="1"/>
    <n v="31824"/>
  </r>
  <r>
    <x v="6"/>
    <s v="Nástěnné hodiny"/>
    <x v="2"/>
    <n v="8610"/>
  </r>
  <r>
    <x v="6"/>
    <s v="Sádrokartonové desky"/>
    <x v="4"/>
    <n v="3146.0000000000005"/>
  </r>
  <r>
    <x v="6"/>
    <s v="Obrazy na plátno"/>
    <x v="2"/>
    <n v="2528"/>
  </r>
  <r>
    <x v="6"/>
    <s v="Sada šroubováků"/>
    <x v="1"/>
    <n v="12198"/>
  </r>
  <r>
    <x v="6"/>
    <s v="Ruční pila"/>
    <x v="1"/>
    <n v="2834"/>
  </r>
  <r>
    <x v="6"/>
    <s v="Betonová směs"/>
    <x v="4"/>
    <n v="357"/>
  </r>
  <r>
    <x v="6"/>
    <s v="Noční osvětlení"/>
    <x v="3"/>
    <n v="7548"/>
  </r>
  <r>
    <x v="6"/>
    <s v="Svícen na stůl"/>
    <x v="2"/>
    <n v="10080"/>
  </r>
  <r>
    <x v="6"/>
    <s v="Postřikovač na trávník"/>
    <x v="0"/>
    <n v="2618"/>
  </r>
  <r>
    <x v="6"/>
    <s v="Střešní tašky"/>
    <x v="4"/>
    <n v="2300"/>
  </r>
  <r>
    <x v="6"/>
    <s v="Sada zahradního nářadí"/>
    <x v="0"/>
    <n v="4069.0000000000005"/>
  </r>
  <r>
    <x v="6"/>
    <s v="Truhlík na květiny"/>
    <x v="0"/>
    <n v="2924"/>
  </r>
  <r>
    <x v="6"/>
    <s v="Multifunkční nářadí"/>
    <x v="1"/>
    <n v="14916"/>
  </r>
  <r>
    <x v="6"/>
    <s v="Zateplovací materiál"/>
    <x v="4"/>
    <n v="9494"/>
  </r>
  <r>
    <x v="6"/>
    <s v="Dekorační polštář"/>
    <x v="2"/>
    <n v="4292"/>
  </r>
  <r>
    <x v="6"/>
    <s v="Stropní ventilátor"/>
    <x v="3"/>
    <n v="104112"/>
  </r>
  <r>
    <x v="6"/>
    <s v="Zahradní hadice"/>
    <x v="0"/>
    <n v="14230.999999999998"/>
  </r>
  <r>
    <x v="6"/>
    <s v="Kompostér"/>
    <x v="0"/>
    <n v="8596"/>
  </r>
  <r>
    <x v="6"/>
    <s v="Lepící pistole"/>
    <x v="1"/>
    <n v="3072"/>
  </r>
  <r>
    <x v="6"/>
    <s v="Rámeček na fotografie"/>
    <x v="2"/>
    <n v="820"/>
  </r>
  <r>
    <x v="6"/>
    <s v="Cementová malta"/>
    <x v="4"/>
    <n v="1775"/>
  </r>
  <r>
    <x v="6"/>
    <s v="Závěsné světlo"/>
    <x v="3"/>
    <n v="32994"/>
  </r>
  <r>
    <x v="6"/>
    <s v="Sazenice bylinek"/>
    <x v="0"/>
    <n v="3023.9999999999995"/>
  </r>
  <r>
    <x v="6"/>
    <s v="Osvětlení do zahrady"/>
    <x v="3"/>
    <n v="2772"/>
  </r>
  <r>
    <x v="6"/>
    <s v="Aku vrtačka"/>
    <x v="1"/>
    <n v="2832"/>
  </r>
  <r>
    <x v="6"/>
    <s v="Zahradní nůžky"/>
    <x v="0"/>
    <n v="4047"/>
  </r>
  <r>
    <x v="6"/>
    <s v="Bruska na dřevo"/>
    <x v="1"/>
    <n v="23052"/>
  </r>
  <r>
    <x v="6"/>
    <s v="Nástěnné hodiny"/>
    <x v="2"/>
    <n v="840"/>
  </r>
  <r>
    <x v="6"/>
    <s v="Sádrokartonové desky"/>
    <x v="4"/>
    <n v="1694.0000000000002"/>
  </r>
  <r>
    <x v="6"/>
    <s v="Obrazy na plátno"/>
    <x v="2"/>
    <n v="11060"/>
  </r>
  <r>
    <x v="6"/>
    <s v="Sada šroubováků"/>
    <x v="1"/>
    <n v="18404"/>
  </r>
  <r>
    <x v="6"/>
    <s v="Hoblík"/>
    <x v="1"/>
    <n v="1488"/>
  </r>
  <r>
    <x v="6"/>
    <s v="Ruční pila"/>
    <x v="1"/>
    <n v="1853"/>
  </r>
  <r>
    <x v="6"/>
    <s v="Noční osvětlení"/>
    <x v="3"/>
    <n v="6732"/>
  </r>
  <r>
    <x v="6"/>
    <s v="Svícen na stůl"/>
    <x v="2"/>
    <n v="6660"/>
  </r>
  <r>
    <x v="6"/>
    <s v="Postřikovač na trávník"/>
    <x v="0"/>
    <n v="4284"/>
  </r>
  <r>
    <x v="6"/>
    <s v="Střešní tašky"/>
    <x v="4"/>
    <n v="7820.0000000000009"/>
  </r>
  <r>
    <x v="6"/>
    <s v="Sada zahradního nářadí"/>
    <x v="0"/>
    <n v="17215"/>
  </r>
  <r>
    <x v="6"/>
    <s v="Truhlík na květiny"/>
    <x v="0"/>
    <n v="9792"/>
  </r>
  <r>
    <x v="6"/>
    <s v="Multifunkční nářadí"/>
    <x v="1"/>
    <n v="56274"/>
  </r>
  <r>
    <x v="6"/>
    <s v="Zateplovací materiál"/>
    <x v="4"/>
    <n v="15553.999999999998"/>
  </r>
  <r>
    <x v="6"/>
    <s v="Dekorační polštář"/>
    <x v="2"/>
    <n v="4736"/>
  </r>
  <r>
    <x v="6"/>
    <s v="Stropní ventilátor"/>
    <x v="3"/>
    <n v="42416"/>
  </r>
  <r>
    <x v="6"/>
    <s v="Zahradní hadice"/>
    <x v="0"/>
    <n v="31254.999999999996"/>
  </r>
  <r>
    <x v="6"/>
    <s v="Kompostér"/>
    <x v="0"/>
    <n v="45743"/>
  </r>
  <r>
    <x v="6"/>
    <s v="Lepící pistole"/>
    <x v="1"/>
    <n v="6464"/>
  </r>
  <r>
    <x v="6"/>
    <s v="Rámeček na fotografie"/>
    <x v="2"/>
    <n v="3280"/>
  </r>
  <r>
    <x v="6"/>
    <s v="Cementová malta"/>
    <x v="4"/>
    <n v="781"/>
  </r>
  <r>
    <x v="6"/>
    <s v="Sazenice bylinek"/>
    <x v="0"/>
    <n v="5375.9999999999991"/>
  </r>
  <r>
    <x v="6"/>
    <s v="Osvětlení do zahrady"/>
    <x v="3"/>
    <n v="1847.9999999999998"/>
  </r>
  <r>
    <x v="6"/>
    <s v="Aku vrtačka"/>
    <x v="1"/>
    <n v="28556"/>
  </r>
  <r>
    <x v="6"/>
    <s v="Zahradní nůžky"/>
    <x v="0"/>
    <n v="43239"/>
  </r>
  <r>
    <x v="6"/>
    <s v="Bruska na dřevo"/>
    <x v="1"/>
    <n v="20604"/>
  </r>
  <r>
    <x v="6"/>
    <s v="Sádrokartonové desky"/>
    <x v="4"/>
    <n v="968.00000000000011"/>
  </r>
  <r>
    <x v="6"/>
    <s v="Obrazy na plátno"/>
    <x v="2"/>
    <n v="30652.000000000004"/>
  </r>
  <r>
    <x v="6"/>
    <s v="Sada šroubováků"/>
    <x v="1"/>
    <n v="13910"/>
  </r>
  <r>
    <x v="6"/>
    <s v="Hoblík"/>
    <x v="1"/>
    <n v="9920"/>
  </r>
  <r>
    <x v="6"/>
    <s v="Ruční pila"/>
    <x v="1"/>
    <n v="8284"/>
  </r>
  <r>
    <x v="6"/>
    <s v="Betonová směs"/>
    <x v="4"/>
    <n v="1470"/>
  </r>
  <r>
    <x v="6"/>
    <s v="Noční osvětlení"/>
    <x v="3"/>
    <n v="16524"/>
  </r>
  <r>
    <x v="6"/>
    <s v="Svícen na stůl"/>
    <x v="2"/>
    <n v="36900"/>
  </r>
  <r>
    <x v="6"/>
    <s v="Koberec do obýváku"/>
    <x v="2"/>
    <n v="2185"/>
  </r>
  <r>
    <x v="6"/>
    <s v="Postřikovač na trávník"/>
    <x v="0"/>
    <n v="5236"/>
  </r>
  <r>
    <x v="6"/>
    <s v="Střešní tašky"/>
    <x v="4"/>
    <n v="7820.00000000000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06CFB-08F7-40A2-BD28-539B1C55B822}" name="Kontingenční tabulka3" cacheId="0" applyNumberFormats="0" applyBorderFormats="0" applyFontFormats="0" applyPatternFormats="0" applyAlignmentFormats="0" applyWidthHeightFormats="1" dataCaption="Hodnoty" grandTotalCaption="uu" updatedVersion="8" minRefreshableVersion="3" useAutoFormatting="1" rowGrandTotals="0" itemPrintTitles="1" createdVersion="8" indent="0" outline="1" outlineData="1" multipleFieldFilters="0" chartFormat="1" rowHeaderCaption="Kategorie">
  <location ref="F25:G30" firstHeaderRow="1" firstDataRow="1" firstDataCol="1"/>
  <pivotFields count="4">
    <pivotField showAll="0">
      <items count="8">
        <item h="1" x="0"/>
        <item h="1" x="1"/>
        <item h="1" x="2"/>
        <item x="3"/>
        <item x="4"/>
        <item x="5"/>
        <item h="1" x="6"/>
        <item t="default"/>
      </items>
    </pivotField>
    <pivotField showAll="0"/>
    <pivotField axis="axisRow" showAll="0" sortType="descending">
      <items count="6">
        <item x="2"/>
        <item x="1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</pivotFields>
  <rowFields count="1">
    <field x="2"/>
  </rowFields>
  <rowItems count="5">
    <i>
      <x v="1"/>
    </i>
    <i>
      <x v="2"/>
    </i>
    <i>
      <x v="4"/>
    </i>
    <i>
      <x/>
    </i>
    <i>
      <x v="3"/>
    </i>
  </rowItems>
  <colItems count="1">
    <i/>
  </colItems>
  <dataFields count="1">
    <dataField name="Zisk %" fld="3" showDataAs="percentOfTotal" baseField="2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675E6A4-ECB8-43BD-A6C1-344BB624C0D7}" autoFormatId="16" applyNumberFormats="0" applyBorderFormats="0" applyFontFormats="0" applyPatternFormats="0" applyAlignmentFormats="0" applyWidthHeightFormats="0">
  <queryTableRefresh nextId="7">
    <queryTableFields count="6">
      <queryTableField id="1" name="Jméno" tableColumnId="1"/>
      <queryTableField id="2" name="Příjmení" tableColumnId="2"/>
      <queryTableField id="3" name="Datum nástupu" tableColumnId="3"/>
      <queryTableField id="4" name="Pozice" tableColumnId="4"/>
      <queryTableField id="5" name="Oddělení" tableColumnId="5"/>
      <queryTableField id="6" name="Plat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Průřez_Měsíc" xr10:uid="{D21F445C-8290-4B4D-8845-4D49D13F1452}" sourceName="Měsíc">
  <pivotTables>
    <pivotTable tabId="12" name="Kontingenční tabulka3"/>
  </pivotTables>
  <data>
    <tabular pivotCacheId="1266474274">
      <items count="7">
        <i x="0"/>
        <i x="1"/>
        <i x="2"/>
        <i x="3" s="1"/>
        <i x="4" s="1"/>
        <i x="5" s="1"/>
        <i x="6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ěsíc" xr10:uid="{27246D4A-92D6-496B-995E-68E69B865EE5}" cache="Průřez_Měsíc" caption="Měsíc" rowHeight="257175"/>
</slicer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62E04E-237A-45FB-BDBE-1940B1BEDED3}" name="Zaměstnanci" displayName="Zaměstnanci" ref="B5:D30" totalsRowShown="0" headerRowDxfId="47" headerRowBorderDxfId="46" tableBorderDxfId="45" totalsRowBorderDxfId="44">
  <autoFilter ref="B5:D30" xr:uid="{F562E04E-237A-45FB-BDBE-1940B1BEDED3}">
    <filterColumn colId="0" hiddenButton="1"/>
    <filterColumn colId="1" hiddenButton="1"/>
    <filterColumn colId="2" hiddenButton="1"/>
  </autoFilter>
  <tableColumns count="3">
    <tableColumn id="1" xr3:uid="{F16B2120-C032-4CF9-9CA4-D68994BFE744}" name="Seznam" dataDxfId="43"/>
    <tableColumn id="2" xr3:uid="{9005D57E-EDB5-4A85-972C-EC8E3C2A6835}" name="Pracovní úvazek" dataDxfId="42"/>
    <tableColumn id="3" xr3:uid="{63AACF67-69BB-482E-9564-8A8A345CFE0D}" name="ID zaměstnance" dataDxfId="4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5D9276-9768-487C-8505-65DB802FAA83}" name="Finance" displayName="Finance" ref="B2:G11" totalsRowShown="0" headerRowDxfId="40" dataDxfId="38" headerRowBorderDxfId="39" tableBorderDxfId="37" totalsRowBorderDxfId="36">
  <autoFilter ref="B2:G11" xr:uid="{B15D9276-9768-487C-8505-65DB802FAA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08C8E83-3B78-4FBA-B1F3-93FEB8E38779}" name="Jméno" dataDxfId="35"/>
    <tableColumn id="2" xr3:uid="{098C1C3A-39F4-4642-8B88-74B1D69AE276}" name="Příjmení" dataDxfId="34"/>
    <tableColumn id="3" xr3:uid="{C4B3AE4E-C810-49D7-AC2B-3212120AFCF0}" name="Datum nástupu" dataDxfId="33"/>
    <tableColumn id="4" xr3:uid="{A254FC9C-20F4-4D65-AEDB-C4409D269E4A}" name="Pozice" dataDxfId="32"/>
    <tableColumn id="5" xr3:uid="{01EEA457-D531-464D-B558-5905EEFF1B9D}" name="Oddělení" dataDxfId="31"/>
    <tableColumn id="6" xr3:uid="{93BF7AA0-171F-493D-80A9-192B90B8127E}" name="Plat" dataDxfId="3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928163-329C-42F6-BCF4-C077F73B20D2}" name="HR" displayName="HR" ref="B13:G17" totalsRowShown="0" headerRowDxfId="29" dataDxfId="27" headerRowBorderDxfId="28" tableBorderDxfId="26" totalsRowBorderDxfId="25">
  <autoFilter ref="B13:G17" xr:uid="{F4928163-329C-42F6-BCF4-C077F73B20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FB57B5B-635F-4341-955D-44D8B2241C52}" name="Jméno" dataDxfId="24"/>
    <tableColumn id="2" xr3:uid="{ED003337-A4E6-4153-AFBA-2F59F8CBB05C}" name="Příjmení" dataDxfId="23"/>
    <tableColumn id="3" xr3:uid="{ACC138FA-2775-4811-AE7F-B24ED5D35C90}" name="Datum nástupu" dataDxfId="22"/>
    <tableColumn id="4" xr3:uid="{F3155F61-93E3-4913-812C-A81D928AB860}" name="Pozice" dataDxfId="21"/>
    <tableColumn id="5" xr3:uid="{115A8C76-EEE5-473D-BEB1-D8BC683FA833}" name="Oddělení" dataDxfId="20"/>
    <tableColumn id="6" xr3:uid="{03D5BD8E-D4B9-48D0-A9A7-A7E66F3732CA}" name="Plat" dataDxfId="1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DF679B-D9E3-4B1C-9DF3-8606BFC34D6D}" name="Prodej" displayName="Prodej" ref="B19:G31" totalsRowShown="0" headerRowDxfId="18" dataDxfId="16" headerRowBorderDxfId="17" tableBorderDxfId="15" totalsRowBorderDxfId="14">
  <autoFilter ref="B19:G31" xr:uid="{1ADF679B-D9E3-4B1C-9DF3-8606BFC34D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3E922AD-CBAD-42E0-A5F3-842E4319CF4A}" name="Jméno" dataDxfId="13"/>
    <tableColumn id="2" xr3:uid="{C5CC3BEC-B1E9-464D-A088-B240F2B0F595}" name="Příjmení" dataDxfId="12"/>
    <tableColumn id="3" xr3:uid="{AA4DADE1-410A-4473-91C6-E7DCA57DFF19}" name="Datum nástupu" dataDxfId="11"/>
    <tableColumn id="4" xr3:uid="{F65C9CC8-A935-424A-BDD3-35616E599D0C}" name="Pozice" dataDxfId="10"/>
    <tableColumn id="5" xr3:uid="{7B783E62-346C-4532-9E60-72997DFDB39A}" name="Oddělení" dataDxfId="9"/>
    <tableColumn id="6" xr3:uid="{A8CC72E4-C80B-4364-9396-604EEDCE70AE}" name="Plat" dataDxfId="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B30274-565A-469A-AD69-FEC5C80BA270}" name="Souhrn" displayName="Souhrn" ref="J8:O33" tableType="queryTable" totalsRowShown="0">
  <autoFilter ref="J8:O33" xr:uid="{DFB30274-565A-469A-AD69-FEC5C80BA270}"/>
  <tableColumns count="6">
    <tableColumn id="1" xr3:uid="{E696A3FE-6887-4B07-AA06-55BE5F19A481}" uniqueName="1" name="Jméno" queryTableFieldId="1" dataDxfId="7"/>
    <tableColumn id="2" xr3:uid="{3A274DA1-987F-45A6-A200-369C89544A05}" uniqueName="2" name="Příjmení" queryTableFieldId="2" dataDxfId="6"/>
    <tableColumn id="3" xr3:uid="{9CDD4C70-E69C-4B9A-A155-7519DF8FC4F0}" uniqueName="3" name="Datum nástupu" queryTableFieldId="3" dataDxfId="5"/>
    <tableColumn id="4" xr3:uid="{F3619CFA-A15A-4531-A1EF-DAC0560AF788}" uniqueName="4" name="Pozice" queryTableFieldId="4" dataDxfId="4"/>
    <tableColumn id="5" xr3:uid="{117215B7-2FBD-4C68-82EC-F47186CED8A0}" uniqueName="5" name="Oddělení" queryTableFieldId="5" dataDxfId="3"/>
    <tableColumn id="6" xr3:uid="{1244B2A0-8B71-4F3C-B9CC-BD2ADAE59FCB}" uniqueName="6" name="Pla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2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1B82-0ABF-4C9C-8F38-EF396B03D138}">
  <dimension ref="B2:H32"/>
  <sheetViews>
    <sheetView showGridLines="0" tabSelected="1" workbookViewId="0">
      <selection activeCell="F3" sqref="F3:F32"/>
    </sheetView>
  </sheetViews>
  <sheetFormatPr defaultColWidth="9" defaultRowHeight="15" x14ac:dyDescent="0.25"/>
  <cols>
    <col min="1" max="1" width="9" style="2"/>
    <col min="2" max="2" width="20.140625" style="2" customWidth="1"/>
    <col min="3" max="5" width="8.85546875" style="2" customWidth="1"/>
    <col min="6" max="6" width="11.7109375" style="2" customWidth="1"/>
    <col min="7" max="7" width="9" style="2"/>
    <col min="8" max="8" width="10.85546875" style="2" bestFit="1" customWidth="1"/>
    <col min="9" max="16384" width="9" style="2"/>
  </cols>
  <sheetData>
    <row r="2" spans="2:8" x14ac:dyDescent="0.25">
      <c r="B2" s="3" t="s">
        <v>34</v>
      </c>
      <c r="C2" s="4" t="s">
        <v>30</v>
      </c>
      <c r="D2" s="4" t="s">
        <v>31</v>
      </c>
      <c r="E2" s="4" t="s">
        <v>32</v>
      </c>
      <c r="F2" s="4" t="s">
        <v>33</v>
      </c>
      <c r="H2" s="5"/>
    </row>
    <row r="3" spans="2:8" x14ac:dyDescent="0.25">
      <c r="B3" s="6" t="s">
        <v>0</v>
      </c>
      <c r="C3" s="7">
        <v>55</v>
      </c>
      <c r="D3" s="7">
        <v>57</v>
      </c>
      <c r="E3" s="7">
        <v>43</v>
      </c>
      <c r="F3" s="34" t="str">
        <f>IF(OR(C3 &gt;= 80,D3&gt;=80,E3&gt;=80),"Ano","Ne")</f>
        <v>Ne</v>
      </c>
    </row>
    <row r="4" spans="2:8" x14ac:dyDescent="0.25">
      <c r="B4" s="6" t="s">
        <v>1</v>
      </c>
      <c r="C4" s="7">
        <v>57</v>
      </c>
      <c r="D4" s="7">
        <v>77</v>
      </c>
      <c r="E4" s="7">
        <v>84</v>
      </c>
      <c r="F4" s="34" t="str">
        <f t="shared" ref="F4:F32" si="0">IF(OR(C4 &gt;= 80,D4&gt;=80,E4&gt;=80),"Ano","Ne")</f>
        <v>Ano</v>
      </c>
    </row>
    <row r="5" spans="2:8" x14ac:dyDescent="0.25">
      <c r="B5" s="6" t="s">
        <v>2</v>
      </c>
      <c r="C5" s="7">
        <v>97</v>
      </c>
      <c r="D5" s="7">
        <v>77</v>
      </c>
      <c r="E5" s="7">
        <v>94</v>
      </c>
      <c r="F5" s="34" t="str">
        <f t="shared" si="0"/>
        <v>Ano</v>
      </c>
    </row>
    <row r="6" spans="2:8" x14ac:dyDescent="0.25">
      <c r="B6" s="6" t="s">
        <v>3</v>
      </c>
      <c r="C6" s="7">
        <v>50</v>
      </c>
      <c r="D6" s="7">
        <v>80</v>
      </c>
      <c r="E6" s="7">
        <v>67</v>
      </c>
      <c r="F6" s="34" t="str">
        <f t="shared" si="0"/>
        <v>Ano</v>
      </c>
    </row>
    <row r="7" spans="2:8" x14ac:dyDescent="0.25">
      <c r="B7" s="6" t="s">
        <v>4</v>
      </c>
      <c r="C7" s="7">
        <v>26</v>
      </c>
      <c r="D7" s="7">
        <v>64</v>
      </c>
      <c r="E7" s="7">
        <v>56</v>
      </c>
      <c r="F7" s="34" t="str">
        <f t="shared" si="0"/>
        <v>Ne</v>
      </c>
    </row>
    <row r="8" spans="2:8" x14ac:dyDescent="0.25">
      <c r="B8" s="6" t="s">
        <v>5</v>
      </c>
      <c r="C8" s="7">
        <v>44</v>
      </c>
      <c r="D8" s="7">
        <v>54</v>
      </c>
      <c r="E8" s="7">
        <v>87</v>
      </c>
      <c r="F8" s="34" t="str">
        <f t="shared" si="0"/>
        <v>Ano</v>
      </c>
    </row>
    <row r="9" spans="2:8" x14ac:dyDescent="0.25">
      <c r="B9" s="6" t="s">
        <v>6</v>
      </c>
      <c r="C9" s="7">
        <v>63</v>
      </c>
      <c r="D9" s="7">
        <v>70</v>
      </c>
      <c r="E9" s="7">
        <v>62</v>
      </c>
      <c r="F9" s="34" t="str">
        <f t="shared" si="0"/>
        <v>Ne</v>
      </c>
    </row>
    <row r="10" spans="2:8" x14ac:dyDescent="0.25">
      <c r="B10" s="6" t="s">
        <v>7</v>
      </c>
      <c r="C10" s="7">
        <v>51</v>
      </c>
      <c r="D10" s="7">
        <v>36</v>
      </c>
      <c r="E10" s="7">
        <v>43</v>
      </c>
      <c r="F10" s="34" t="str">
        <f t="shared" si="0"/>
        <v>Ne</v>
      </c>
    </row>
    <row r="11" spans="2:8" x14ac:dyDescent="0.25">
      <c r="B11" s="6" t="s">
        <v>8</v>
      </c>
      <c r="C11" s="7">
        <v>27</v>
      </c>
      <c r="D11" s="7">
        <v>99</v>
      </c>
      <c r="E11" s="7">
        <v>100</v>
      </c>
      <c r="F11" s="34" t="str">
        <f t="shared" si="0"/>
        <v>Ano</v>
      </c>
    </row>
    <row r="12" spans="2:8" x14ac:dyDescent="0.25">
      <c r="B12" s="6" t="s">
        <v>9</v>
      </c>
      <c r="C12" s="7">
        <v>82</v>
      </c>
      <c r="D12" s="7">
        <v>40</v>
      </c>
      <c r="E12" s="7">
        <v>34</v>
      </c>
      <c r="F12" s="34" t="str">
        <f t="shared" si="0"/>
        <v>Ano</v>
      </c>
    </row>
    <row r="13" spans="2:8" x14ac:dyDescent="0.25">
      <c r="B13" s="6" t="s">
        <v>10</v>
      </c>
      <c r="C13" s="7">
        <v>83</v>
      </c>
      <c r="D13" s="7">
        <v>32</v>
      </c>
      <c r="E13" s="7">
        <v>37</v>
      </c>
      <c r="F13" s="34" t="str">
        <f t="shared" si="0"/>
        <v>Ano</v>
      </c>
    </row>
    <row r="14" spans="2:8" x14ac:dyDescent="0.25">
      <c r="B14" s="6" t="s">
        <v>11</v>
      </c>
      <c r="C14" s="7">
        <v>78</v>
      </c>
      <c r="D14" s="7">
        <v>49</v>
      </c>
      <c r="E14" s="7">
        <v>67</v>
      </c>
      <c r="F14" s="34" t="str">
        <f t="shared" si="0"/>
        <v>Ne</v>
      </c>
    </row>
    <row r="15" spans="2:8" x14ac:dyDescent="0.25">
      <c r="B15" s="6" t="s">
        <v>12</v>
      </c>
      <c r="C15" s="7">
        <v>48</v>
      </c>
      <c r="D15" s="7">
        <v>54</v>
      </c>
      <c r="E15" s="7">
        <v>62</v>
      </c>
      <c r="F15" s="34" t="str">
        <f t="shared" si="0"/>
        <v>Ne</v>
      </c>
    </row>
    <row r="16" spans="2:8" x14ac:dyDescent="0.25">
      <c r="B16" s="6" t="s">
        <v>13</v>
      </c>
      <c r="C16" s="7">
        <v>69</v>
      </c>
      <c r="D16" s="7">
        <v>72</v>
      </c>
      <c r="E16" s="7">
        <v>29</v>
      </c>
      <c r="F16" s="34" t="str">
        <f t="shared" si="0"/>
        <v>Ne</v>
      </c>
    </row>
    <row r="17" spans="2:6" x14ac:dyDescent="0.25">
      <c r="B17" s="6" t="s">
        <v>14</v>
      </c>
      <c r="C17" s="7">
        <v>64</v>
      </c>
      <c r="D17" s="7">
        <v>87</v>
      </c>
      <c r="E17" s="7">
        <v>29</v>
      </c>
      <c r="F17" s="34" t="str">
        <f t="shared" si="0"/>
        <v>Ano</v>
      </c>
    </row>
    <row r="18" spans="2:6" x14ac:dyDescent="0.25">
      <c r="B18" s="6" t="s">
        <v>15</v>
      </c>
      <c r="C18" s="7">
        <v>76</v>
      </c>
      <c r="D18" s="7">
        <v>41</v>
      </c>
      <c r="E18" s="7">
        <v>67</v>
      </c>
      <c r="F18" s="34" t="str">
        <f t="shared" si="0"/>
        <v>Ne</v>
      </c>
    </row>
    <row r="19" spans="2:6" x14ac:dyDescent="0.25">
      <c r="B19" s="6" t="s">
        <v>16</v>
      </c>
      <c r="C19" s="7">
        <v>50</v>
      </c>
      <c r="D19" s="7">
        <v>79</v>
      </c>
      <c r="E19" s="7">
        <v>83</v>
      </c>
      <c r="F19" s="34" t="str">
        <f t="shared" si="0"/>
        <v>Ano</v>
      </c>
    </row>
    <row r="20" spans="2:6" x14ac:dyDescent="0.25">
      <c r="B20" s="6" t="s">
        <v>17</v>
      </c>
      <c r="C20" s="7">
        <v>54</v>
      </c>
      <c r="D20" s="7">
        <v>26</v>
      </c>
      <c r="E20" s="7">
        <v>85</v>
      </c>
      <c r="F20" s="34" t="str">
        <f t="shared" si="0"/>
        <v>Ano</v>
      </c>
    </row>
    <row r="21" spans="2:6" x14ac:dyDescent="0.25">
      <c r="B21" s="6" t="s">
        <v>18</v>
      </c>
      <c r="C21" s="7">
        <v>69</v>
      </c>
      <c r="D21" s="7">
        <v>63</v>
      </c>
      <c r="E21" s="7">
        <v>33</v>
      </c>
      <c r="F21" s="34" t="str">
        <f t="shared" si="0"/>
        <v>Ne</v>
      </c>
    </row>
    <row r="22" spans="2:6" x14ac:dyDescent="0.25">
      <c r="B22" s="6" t="s">
        <v>19</v>
      </c>
      <c r="C22" s="7">
        <v>28</v>
      </c>
      <c r="D22" s="7">
        <v>93</v>
      </c>
      <c r="E22" s="7">
        <v>94</v>
      </c>
      <c r="F22" s="34" t="str">
        <f t="shared" si="0"/>
        <v>Ano</v>
      </c>
    </row>
    <row r="23" spans="2:6" x14ac:dyDescent="0.25">
      <c r="B23" s="6" t="s">
        <v>20</v>
      </c>
      <c r="C23" s="7">
        <v>44</v>
      </c>
      <c r="D23" s="7">
        <v>45</v>
      </c>
      <c r="E23" s="7">
        <v>79</v>
      </c>
      <c r="F23" s="34" t="str">
        <f t="shared" si="0"/>
        <v>Ne</v>
      </c>
    </row>
    <row r="24" spans="2:6" x14ac:dyDescent="0.25">
      <c r="B24" s="6" t="s">
        <v>21</v>
      </c>
      <c r="C24" s="7">
        <v>86</v>
      </c>
      <c r="D24" s="7">
        <v>87</v>
      </c>
      <c r="E24" s="7">
        <v>91</v>
      </c>
      <c r="F24" s="34" t="str">
        <f t="shared" si="0"/>
        <v>Ano</v>
      </c>
    </row>
    <row r="25" spans="2:6" x14ac:dyDescent="0.25">
      <c r="B25" s="6" t="s">
        <v>22</v>
      </c>
      <c r="C25" s="7">
        <v>38</v>
      </c>
      <c r="D25" s="7">
        <v>37</v>
      </c>
      <c r="E25" s="7">
        <v>97</v>
      </c>
      <c r="F25" s="34" t="str">
        <f t="shared" si="0"/>
        <v>Ano</v>
      </c>
    </row>
    <row r="26" spans="2:6" x14ac:dyDescent="0.25">
      <c r="B26" s="6" t="s">
        <v>23</v>
      </c>
      <c r="C26" s="7">
        <v>35</v>
      </c>
      <c r="D26" s="7">
        <v>53</v>
      </c>
      <c r="E26" s="7">
        <v>99</v>
      </c>
      <c r="F26" s="34" t="str">
        <f t="shared" si="0"/>
        <v>Ano</v>
      </c>
    </row>
    <row r="27" spans="2:6" x14ac:dyDescent="0.25">
      <c r="B27" s="6" t="s">
        <v>24</v>
      </c>
      <c r="C27" s="7">
        <v>72</v>
      </c>
      <c r="D27" s="7">
        <v>47</v>
      </c>
      <c r="E27" s="7">
        <v>97</v>
      </c>
      <c r="F27" s="34" t="str">
        <f t="shared" si="0"/>
        <v>Ano</v>
      </c>
    </row>
    <row r="28" spans="2:6" x14ac:dyDescent="0.25">
      <c r="B28" s="6" t="s">
        <v>25</v>
      </c>
      <c r="C28" s="7">
        <v>100</v>
      </c>
      <c r="D28" s="7">
        <v>59</v>
      </c>
      <c r="E28" s="7">
        <v>89</v>
      </c>
      <c r="F28" s="34" t="str">
        <f t="shared" si="0"/>
        <v>Ano</v>
      </c>
    </row>
    <row r="29" spans="2:6" x14ac:dyDescent="0.25">
      <c r="B29" s="6" t="s">
        <v>26</v>
      </c>
      <c r="C29" s="7">
        <v>59</v>
      </c>
      <c r="D29" s="7">
        <v>45</v>
      </c>
      <c r="E29" s="7">
        <v>36</v>
      </c>
      <c r="F29" s="34" t="str">
        <f t="shared" si="0"/>
        <v>Ne</v>
      </c>
    </row>
    <row r="30" spans="2:6" x14ac:dyDescent="0.25">
      <c r="B30" s="6" t="s">
        <v>27</v>
      </c>
      <c r="C30" s="7">
        <v>86</v>
      </c>
      <c r="D30" s="7">
        <v>67</v>
      </c>
      <c r="E30" s="7">
        <v>74</v>
      </c>
      <c r="F30" s="34" t="str">
        <f t="shared" si="0"/>
        <v>Ano</v>
      </c>
    </row>
    <row r="31" spans="2:6" x14ac:dyDescent="0.25">
      <c r="B31" s="6" t="s">
        <v>28</v>
      </c>
      <c r="C31" s="7">
        <v>78</v>
      </c>
      <c r="D31" s="7">
        <v>99</v>
      </c>
      <c r="E31" s="7">
        <v>30</v>
      </c>
      <c r="F31" s="34" t="str">
        <f t="shared" si="0"/>
        <v>Ano</v>
      </c>
    </row>
    <row r="32" spans="2:6" x14ac:dyDescent="0.25">
      <c r="B32" s="6" t="s">
        <v>29</v>
      </c>
      <c r="C32" s="7">
        <v>88</v>
      </c>
      <c r="D32" s="7">
        <v>88</v>
      </c>
      <c r="E32" s="7">
        <v>37</v>
      </c>
      <c r="F32" s="34" t="str">
        <f t="shared" si="0"/>
        <v>Ano</v>
      </c>
    </row>
  </sheetData>
  <phoneticPr fontId="1" type="noConversion"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9F7F-436D-4AF4-B64F-15E3A2D2F662}">
  <dimension ref="B2:G32"/>
  <sheetViews>
    <sheetView showGridLines="0" workbookViewId="0">
      <selection activeCell="D3" sqref="D3:D32"/>
    </sheetView>
  </sheetViews>
  <sheetFormatPr defaultColWidth="9" defaultRowHeight="15" x14ac:dyDescent="0.25"/>
  <cols>
    <col min="1" max="1" width="9" style="2"/>
    <col min="2" max="2" width="20.140625" style="2" customWidth="1"/>
    <col min="3" max="3" width="13.5703125" style="2" customWidth="1"/>
    <col min="4" max="5" width="9" style="2"/>
    <col min="6" max="6" width="17.85546875" style="2" customWidth="1"/>
    <col min="7" max="16384" width="9" style="2"/>
  </cols>
  <sheetData>
    <row r="2" spans="2:7" x14ac:dyDescent="0.25">
      <c r="B2" s="3" t="s">
        <v>34</v>
      </c>
      <c r="C2" s="4" t="s">
        <v>42</v>
      </c>
      <c r="D2" s="4" t="s">
        <v>43</v>
      </c>
    </row>
    <row r="3" spans="2:7" x14ac:dyDescent="0.25">
      <c r="B3" s="6" t="s">
        <v>16</v>
      </c>
      <c r="C3" s="7">
        <v>83</v>
      </c>
      <c r="D3" s="34" t="str">
        <f>IF(C3&gt;=90,"A",IF(C3&gt;=80,"B",IF(C3&gt;=70,"C",IF(C3&gt;=60,"D","E"))))</f>
        <v>B</v>
      </c>
    </row>
    <row r="4" spans="2:7" x14ac:dyDescent="0.25">
      <c r="B4" s="6" t="s">
        <v>11</v>
      </c>
      <c r="C4" s="7">
        <v>67</v>
      </c>
      <c r="D4" s="34" t="str">
        <f t="shared" ref="D4:D32" si="0">IF(C4&gt;=90,"A",IF(C4&gt;=80,"B",IF(C4&gt;=70,"C",IF(C4&gt;=60,"D","E"))))</f>
        <v>D</v>
      </c>
    </row>
    <row r="5" spans="2:7" x14ac:dyDescent="0.25">
      <c r="B5" s="6" t="s">
        <v>23</v>
      </c>
      <c r="C5" s="7">
        <v>99</v>
      </c>
      <c r="D5" s="34" t="str">
        <f t="shared" si="0"/>
        <v>A</v>
      </c>
    </row>
    <row r="6" spans="2:7" x14ac:dyDescent="0.25">
      <c r="B6" s="6" t="s">
        <v>26</v>
      </c>
      <c r="C6" s="7">
        <v>36</v>
      </c>
      <c r="D6" s="34" t="str">
        <f t="shared" si="0"/>
        <v>E</v>
      </c>
    </row>
    <row r="7" spans="2:7" x14ac:dyDescent="0.25">
      <c r="B7" s="6" t="s">
        <v>8</v>
      </c>
      <c r="C7" s="7">
        <v>100</v>
      </c>
      <c r="D7" s="34" t="str">
        <f t="shared" si="0"/>
        <v>A</v>
      </c>
    </row>
    <row r="8" spans="2:7" x14ac:dyDescent="0.25">
      <c r="B8" s="6" t="s">
        <v>25</v>
      </c>
      <c r="C8" s="7">
        <v>89</v>
      </c>
      <c r="D8" s="34" t="str">
        <f t="shared" si="0"/>
        <v>B</v>
      </c>
      <c r="F8" s="4" t="s">
        <v>44</v>
      </c>
      <c r="G8" s="4" t="s">
        <v>43</v>
      </c>
    </row>
    <row r="9" spans="2:7" x14ac:dyDescent="0.25">
      <c r="B9" s="6" t="s">
        <v>15</v>
      </c>
      <c r="C9" s="7">
        <v>67</v>
      </c>
      <c r="D9" s="34" t="str">
        <f t="shared" si="0"/>
        <v>D</v>
      </c>
      <c r="F9" s="7" t="s">
        <v>45</v>
      </c>
      <c r="G9" s="7" t="s">
        <v>40</v>
      </c>
    </row>
    <row r="10" spans="2:7" x14ac:dyDescent="0.25">
      <c r="B10" s="6" t="s">
        <v>12</v>
      </c>
      <c r="C10" s="7">
        <v>62</v>
      </c>
      <c r="D10" s="34" t="str">
        <f t="shared" si="0"/>
        <v>D</v>
      </c>
      <c r="F10" s="7" t="s">
        <v>46</v>
      </c>
      <c r="G10" s="7" t="s">
        <v>41</v>
      </c>
    </row>
    <row r="11" spans="2:7" x14ac:dyDescent="0.25">
      <c r="B11" s="6" t="s">
        <v>29</v>
      </c>
      <c r="C11" s="7">
        <v>37</v>
      </c>
      <c r="D11" s="34" t="str">
        <f t="shared" si="0"/>
        <v>E</v>
      </c>
      <c r="F11" s="7" t="s">
        <v>47</v>
      </c>
      <c r="G11" s="7" t="s">
        <v>50</v>
      </c>
    </row>
    <row r="12" spans="2:7" x14ac:dyDescent="0.25">
      <c r="B12" s="6" t="s">
        <v>4</v>
      </c>
      <c r="C12" s="7">
        <v>56</v>
      </c>
      <c r="D12" s="34" t="str">
        <f t="shared" si="0"/>
        <v>E</v>
      </c>
      <c r="F12" s="7" t="s">
        <v>48</v>
      </c>
      <c r="G12" s="7" t="s">
        <v>51</v>
      </c>
    </row>
    <row r="13" spans="2:7" x14ac:dyDescent="0.25">
      <c r="B13" s="6" t="s">
        <v>0</v>
      </c>
      <c r="C13" s="7">
        <v>43</v>
      </c>
      <c r="D13" s="34" t="str">
        <f t="shared" si="0"/>
        <v>E</v>
      </c>
      <c r="F13" s="7" t="s">
        <v>49</v>
      </c>
      <c r="G13" s="7" t="s">
        <v>52</v>
      </c>
    </row>
    <row r="14" spans="2:7" x14ac:dyDescent="0.25">
      <c r="B14" s="6" t="s">
        <v>17</v>
      </c>
      <c r="C14" s="7">
        <v>85</v>
      </c>
      <c r="D14" s="34" t="str">
        <f t="shared" si="0"/>
        <v>B</v>
      </c>
    </row>
    <row r="15" spans="2:7" x14ac:dyDescent="0.25">
      <c r="B15" s="6" t="s">
        <v>13</v>
      </c>
      <c r="C15" s="7">
        <v>29</v>
      </c>
      <c r="D15" s="34" t="str">
        <f t="shared" si="0"/>
        <v>E</v>
      </c>
    </row>
    <row r="16" spans="2:7" x14ac:dyDescent="0.25">
      <c r="B16" s="6" t="s">
        <v>19</v>
      </c>
      <c r="C16" s="7">
        <v>94</v>
      </c>
      <c r="D16" s="34" t="str">
        <f t="shared" si="0"/>
        <v>A</v>
      </c>
    </row>
    <row r="17" spans="2:4" x14ac:dyDescent="0.25">
      <c r="B17" s="6" t="s">
        <v>27</v>
      </c>
      <c r="C17" s="7">
        <v>74</v>
      </c>
      <c r="D17" s="34" t="str">
        <f t="shared" si="0"/>
        <v>C</v>
      </c>
    </row>
    <row r="18" spans="2:4" x14ac:dyDescent="0.25">
      <c r="B18" s="6" t="s">
        <v>5</v>
      </c>
      <c r="C18" s="7">
        <v>87</v>
      </c>
      <c r="D18" s="34" t="str">
        <f t="shared" si="0"/>
        <v>B</v>
      </c>
    </row>
    <row r="19" spans="2:4" x14ac:dyDescent="0.25">
      <c r="B19" s="6" t="s">
        <v>10</v>
      </c>
      <c r="C19" s="7">
        <v>37</v>
      </c>
      <c r="D19" s="34" t="str">
        <f t="shared" si="0"/>
        <v>E</v>
      </c>
    </row>
    <row r="20" spans="2:4" x14ac:dyDescent="0.25">
      <c r="B20" s="6" t="s">
        <v>14</v>
      </c>
      <c r="C20" s="7">
        <v>29</v>
      </c>
      <c r="D20" s="34" t="str">
        <f t="shared" si="0"/>
        <v>E</v>
      </c>
    </row>
    <row r="21" spans="2:4" x14ac:dyDescent="0.25">
      <c r="B21" s="6" t="s">
        <v>24</v>
      </c>
      <c r="C21" s="7">
        <v>97</v>
      </c>
      <c r="D21" s="34" t="str">
        <f t="shared" si="0"/>
        <v>A</v>
      </c>
    </row>
    <row r="22" spans="2:4" x14ac:dyDescent="0.25">
      <c r="B22" s="6" t="s">
        <v>7</v>
      </c>
      <c r="C22" s="7">
        <v>43</v>
      </c>
      <c r="D22" s="34" t="str">
        <f t="shared" si="0"/>
        <v>E</v>
      </c>
    </row>
    <row r="23" spans="2:4" x14ac:dyDescent="0.25">
      <c r="B23" s="6" t="s">
        <v>20</v>
      </c>
      <c r="C23" s="7">
        <v>79</v>
      </c>
      <c r="D23" s="34" t="str">
        <f t="shared" si="0"/>
        <v>C</v>
      </c>
    </row>
    <row r="24" spans="2:4" x14ac:dyDescent="0.25">
      <c r="B24" s="6" t="s">
        <v>6</v>
      </c>
      <c r="C24" s="7">
        <v>62</v>
      </c>
      <c r="D24" s="34" t="str">
        <f t="shared" si="0"/>
        <v>D</v>
      </c>
    </row>
    <row r="25" spans="2:4" x14ac:dyDescent="0.25">
      <c r="B25" s="6" t="s">
        <v>21</v>
      </c>
      <c r="C25" s="7">
        <v>91</v>
      </c>
      <c r="D25" s="34" t="str">
        <f t="shared" si="0"/>
        <v>A</v>
      </c>
    </row>
    <row r="26" spans="2:4" x14ac:dyDescent="0.25">
      <c r="B26" s="6" t="s">
        <v>1</v>
      </c>
      <c r="C26" s="7">
        <v>84</v>
      </c>
      <c r="D26" s="34" t="str">
        <f t="shared" si="0"/>
        <v>B</v>
      </c>
    </row>
    <row r="27" spans="2:4" x14ac:dyDescent="0.25">
      <c r="B27" s="6" t="s">
        <v>28</v>
      </c>
      <c r="C27" s="7">
        <v>30</v>
      </c>
      <c r="D27" s="34" t="str">
        <f t="shared" si="0"/>
        <v>E</v>
      </c>
    </row>
    <row r="28" spans="2:4" x14ac:dyDescent="0.25">
      <c r="B28" s="6" t="s">
        <v>18</v>
      </c>
      <c r="C28" s="7">
        <v>33</v>
      </c>
      <c r="D28" s="34" t="str">
        <f t="shared" si="0"/>
        <v>E</v>
      </c>
    </row>
    <row r="29" spans="2:4" x14ac:dyDescent="0.25">
      <c r="B29" s="6" t="s">
        <v>9</v>
      </c>
      <c r="C29" s="7">
        <v>34</v>
      </c>
      <c r="D29" s="34" t="str">
        <f t="shared" si="0"/>
        <v>E</v>
      </c>
    </row>
    <row r="30" spans="2:4" x14ac:dyDescent="0.25">
      <c r="B30" s="6" t="s">
        <v>2</v>
      </c>
      <c r="C30" s="7">
        <v>94</v>
      </c>
      <c r="D30" s="34" t="str">
        <f t="shared" si="0"/>
        <v>A</v>
      </c>
    </row>
    <row r="31" spans="2:4" x14ac:dyDescent="0.25">
      <c r="B31" s="6" t="s">
        <v>3</v>
      </c>
      <c r="C31" s="7">
        <v>67</v>
      </c>
      <c r="D31" s="34" t="str">
        <f t="shared" si="0"/>
        <v>D</v>
      </c>
    </row>
    <row r="32" spans="2:4" x14ac:dyDescent="0.25">
      <c r="B32" s="6" t="s">
        <v>22</v>
      </c>
      <c r="C32" s="7">
        <v>97</v>
      </c>
      <c r="D32" s="34" t="str">
        <f t="shared" si="0"/>
        <v>A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8A74-00D6-40BF-B8E3-6B045EB3F933}">
  <dimension ref="B2:I32"/>
  <sheetViews>
    <sheetView showGridLines="0" workbookViewId="0">
      <selection activeCell="I4" sqref="I4"/>
    </sheetView>
  </sheetViews>
  <sheetFormatPr defaultColWidth="9" defaultRowHeight="15" x14ac:dyDescent="0.25"/>
  <cols>
    <col min="1" max="1" width="9" style="2"/>
    <col min="2" max="2" width="20.140625" style="2" customWidth="1"/>
    <col min="3" max="3" width="10.5703125" style="2" bestFit="1" customWidth="1"/>
    <col min="4" max="4" width="8.7109375" style="2" bestFit="1" customWidth="1"/>
    <col min="5" max="5" width="16.42578125" style="2" bestFit="1" customWidth="1"/>
    <col min="6" max="6" width="9" style="2"/>
    <col min="7" max="7" width="10.28515625" style="2" customWidth="1"/>
    <col min="8" max="8" width="9" style="2"/>
    <col min="9" max="9" width="10.85546875" style="2" customWidth="1"/>
    <col min="10" max="16384" width="9" style="2"/>
  </cols>
  <sheetData>
    <row r="2" spans="2:9" x14ac:dyDescent="0.25">
      <c r="B2" s="3" t="s">
        <v>34</v>
      </c>
      <c r="C2" s="4" t="s">
        <v>35</v>
      </c>
      <c r="D2" s="4" t="s">
        <v>36</v>
      </c>
      <c r="E2" s="4" t="s">
        <v>37</v>
      </c>
      <c r="G2" s="4" t="s">
        <v>153</v>
      </c>
      <c r="I2" s="4" t="s">
        <v>154</v>
      </c>
    </row>
    <row r="3" spans="2:9" x14ac:dyDescent="0.25">
      <c r="B3" s="6" t="s">
        <v>16</v>
      </c>
      <c r="C3" s="7" t="s">
        <v>38</v>
      </c>
      <c r="D3" s="7" t="s">
        <v>40</v>
      </c>
      <c r="E3" s="7">
        <v>83</v>
      </c>
      <c r="G3" s="34">
        <f>SUMIFS(E3:E32,C3:C32,"žena",D3:D32,"A")</f>
        <v>710</v>
      </c>
      <c r="H3" s="25"/>
      <c r="I3" s="34">
        <f>_xlfn.MINIFS(E3:E32,C3:C32,"muž",D3:D32,"B")</f>
        <v>30</v>
      </c>
    </row>
    <row r="4" spans="2:9" x14ac:dyDescent="0.25">
      <c r="B4" s="6" t="s">
        <v>11</v>
      </c>
      <c r="C4" s="7" t="s">
        <v>39</v>
      </c>
      <c r="D4" s="7" t="s">
        <v>41</v>
      </c>
      <c r="E4" s="7">
        <v>67</v>
      </c>
    </row>
    <row r="5" spans="2:9" x14ac:dyDescent="0.25">
      <c r="B5" s="6" t="s">
        <v>23</v>
      </c>
      <c r="C5" s="7" t="s">
        <v>39</v>
      </c>
      <c r="D5" s="7" t="s">
        <v>40</v>
      </c>
      <c r="E5" s="7">
        <v>99</v>
      </c>
    </row>
    <row r="6" spans="2:9" x14ac:dyDescent="0.25">
      <c r="B6" s="6" t="s">
        <v>26</v>
      </c>
      <c r="C6" s="7" t="s">
        <v>38</v>
      </c>
      <c r="D6" s="7" t="s">
        <v>41</v>
      </c>
      <c r="E6" s="7">
        <v>36</v>
      </c>
    </row>
    <row r="7" spans="2:9" x14ac:dyDescent="0.25">
      <c r="B7" s="6" t="s">
        <v>8</v>
      </c>
      <c r="C7" s="7" t="s">
        <v>38</v>
      </c>
      <c r="D7" s="7" t="s">
        <v>40</v>
      </c>
      <c r="E7" s="7">
        <v>100</v>
      </c>
    </row>
    <row r="8" spans="2:9" x14ac:dyDescent="0.25">
      <c r="B8" s="6" t="s">
        <v>25</v>
      </c>
      <c r="C8" s="7" t="s">
        <v>39</v>
      </c>
      <c r="D8" s="7" t="s">
        <v>40</v>
      </c>
      <c r="E8" s="7">
        <v>89</v>
      </c>
    </row>
    <row r="9" spans="2:9" x14ac:dyDescent="0.25">
      <c r="B9" s="6" t="s">
        <v>15</v>
      </c>
      <c r="C9" s="7" t="s">
        <v>39</v>
      </c>
      <c r="D9" s="7" t="s">
        <v>41</v>
      </c>
      <c r="E9" s="7">
        <v>67</v>
      </c>
    </row>
    <row r="10" spans="2:9" x14ac:dyDescent="0.25">
      <c r="B10" s="6" t="s">
        <v>12</v>
      </c>
      <c r="C10" s="7" t="s">
        <v>38</v>
      </c>
      <c r="D10" s="7" t="s">
        <v>41</v>
      </c>
      <c r="E10" s="7">
        <v>62</v>
      </c>
    </row>
    <row r="11" spans="2:9" x14ac:dyDescent="0.25">
      <c r="B11" s="6" t="s">
        <v>29</v>
      </c>
      <c r="C11" s="7" t="s">
        <v>39</v>
      </c>
      <c r="D11" s="7" t="s">
        <v>41</v>
      </c>
      <c r="E11" s="7">
        <v>37</v>
      </c>
    </row>
    <row r="12" spans="2:9" x14ac:dyDescent="0.25">
      <c r="B12" s="6" t="s">
        <v>4</v>
      </c>
      <c r="C12" s="7" t="s">
        <v>38</v>
      </c>
      <c r="D12" s="7" t="s">
        <v>41</v>
      </c>
      <c r="E12" s="7">
        <v>56</v>
      </c>
    </row>
    <row r="13" spans="2:9" x14ac:dyDescent="0.25">
      <c r="B13" s="6" t="s">
        <v>0</v>
      </c>
      <c r="C13" s="7" t="s">
        <v>38</v>
      </c>
      <c r="D13" s="7" t="s">
        <v>40</v>
      </c>
      <c r="E13" s="7">
        <v>43</v>
      </c>
    </row>
    <row r="14" spans="2:9" x14ac:dyDescent="0.25">
      <c r="B14" s="6" t="s">
        <v>17</v>
      </c>
      <c r="C14" s="7" t="s">
        <v>39</v>
      </c>
      <c r="D14" s="7" t="s">
        <v>40</v>
      </c>
      <c r="E14" s="7">
        <v>85</v>
      </c>
    </row>
    <row r="15" spans="2:9" x14ac:dyDescent="0.25">
      <c r="B15" s="6" t="s">
        <v>13</v>
      </c>
      <c r="C15" s="7" t="s">
        <v>39</v>
      </c>
      <c r="D15" s="7" t="s">
        <v>41</v>
      </c>
      <c r="E15" s="7">
        <v>29</v>
      </c>
    </row>
    <row r="16" spans="2:9" x14ac:dyDescent="0.25">
      <c r="B16" s="6" t="s">
        <v>19</v>
      </c>
      <c r="C16" s="7" t="s">
        <v>39</v>
      </c>
      <c r="D16" s="7" t="s">
        <v>41</v>
      </c>
      <c r="E16" s="7">
        <v>94</v>
      </c>
    </row>
    <row r="17" spans="2:5" x14ac:dyDescent="0.25">
      <c r="B17" s="6" t="s">
        <v>27</v>
      </c>
      <c r="C17" s="7" t="s">
        <v>39</v>
      </c>
      <c r="D17" s="7" t="s">
        <v>40</v>
      </c>
      <c r="E17" s="7">
        <v>74</v>
      </c>
    </row>
    <row r="18" spans="2:5" x14ac:dyDescent="0.25">
      <c r="B18" s="6" t="s">
        <v>5</v>
      </c>
      <c r="C18" s="7" t="s">
        <v>39</v>
      </c>
      <c r="D18" s="7" t="s">
        <v>40</v>
      </c>
      <c r="E18" s="7">
        <v>87</v>
      </c>
    </row>
    <row r="19" spans="2:5" x14ac:dyDescent="0.25">
      <c r="B19" s="6" t="s">
        <v>10</v>
      </c>
      <c r="C19" s="7" t="s">
        <v>38</v>
      </c>
      <c r="D19" s="7" t="s">
        <v>40</v>
      </c>
      <c r="E19" s="7">
        <v>37</v>
      </c>
    </row>
    <row r="20" spans="2:5" x14ac:dyDescent="0.25">
      <c r="B20" s="6" t="s">
        <v>14</v>
      </c>
      <c r="C20" s="7" t="s">
        <v>38</v>
      </c>
      <c r="D20" s="7" t="s">
        <v>40</v>
      </c>
      <c r="E20" s="7">
        <v>29</v>
      </c>
    </row>
    <row r="21" spans="2:5" x14ac:dyDescent="0.25">
      <c r="B21" s="6" t="s">
        <v>24</v>
      </c>
      <c r="C21" s="7" t="s">
        <v>38</v>
      </c>
      <c r="D21" s="7" t="s">
        <v>41</v>
      </c>
      <c r="E21" s="7">
        <v>97</v>
      </c>
    </row>
    <row r="22" spans="2:5" x14ac:dyDescent="0.25">
      <c r="B22" s="6" t="s">
        <v>7</v>
      </c>
      <c r="C22" s="7" t="s">
        <v>39</v>
      </c>
      <c r="D22" s="7" t="s">
        <v>41</v>
      </c>
      <c r="E22" s="7">
        <v>43</v>
      </c>
    </row>
    <row r="23" spans="2:5" x14ac:dyDescent="0.25">
      <c r="B23" s="6" t="s">
        <v>20</v>
      </c>
      <c r="C23" s="7" t="s">
        <v>38</v>
      </c>
      <c r="D23" s="7" t="s">
        <v>41</v>
      </c>
      <c r="E23" s="7">
        <v>79</v>
      </c>
    </row>
    <row r="24" spans="2:5" x14ac:dyDescent="0.25">
      <c r="B24" s="6" t="s">
        <v>6</v>
      </c>
      <c r="C24" s="7" t="s">
        <v>38</v>
      </c>
      <c r="D24" s="7" t="s">
        <v>40</v>
      </c>
      <c r="E24" s="7">
        <v>62</v>
      </c>
    </row>
    <row r="25" spans="2:5" x14ac:dyDescent="0.25">
      <c r="B25" s="6" t="s">
        <v>21</v>
      </c>
      <c r="C25" s="7" t="s">
        <v>39</v>
      </c>
      <c r="D25" s="7" t="s">
        <v>40</v>
      </c>
      <c r="E25" s="7">
        <v>91</v>
      </c>
    </row>
    <row r="26" spans="2:5" x14ac:dyDescent="0.25">
      <c r="B26" s="6" t="s">
        <v>1</v>
      </c>
      <c r="C26" s="7" t="s">
        <v>39</v>
      </c>
      <c r="D26" s="7" t="s">
        <v>40</v>
      </c>
      <c r="E26" s="7">
        <v>84</v>
      </c>
    </row>
    <row r="27" spans="2:5" x14ac:dyDescent="0.25">
      <c r="B27" s="6" t="s">
        <v>28</v>
      </c>
      <c r="C27" s="7" t="s">
        <v>38</v>
      </c>
      <c r="D27" s="7" t="s">
        <v>41</v>
      </c>
      <c r="E27" s="7">
        <v>30</v>
      </c>
    </row>
    <row r="28" spans="2:5" x14ac:dyDescent="0.25">
      <c r="B28" s="6" t="s">
        <v>18</v>
      </c>
      <c r="C28" s="7" t="s">
        <v>38</v>
      </c>
      <c r="D28" s="7" t="s">
        <v>41</v>
      </c>
      <c r="E28" s="7">
        <v>33</v>
      </c>
    </row>
    <row r="29" spans="2:5" x14ac:dyDescent="0.25">
      <c r="B29" s="6" t="s">
        <v>9</v>
      </c>
      <c r="C29" s="7" t="s">
        <v>39</v>
      </c>
      <c r="D29" s="7" t="s">
        <v>40</v>
      </c>
      <c r="E29" s="7">
        <v>34</v>
      </c>
    </row>
    <row r="30" spans="2:5" x14ac:dyDescent="0.25">
      <c r="B30" s="6" t="s">
        <v>2</v>
      </c>
      <c r="C30" s="7" t="s">
        <v>38</v>
      </c>
      <c r="D30" s="7" t="s">
        <v>41</v>
      </c>
      <c r="E30" s="7">
        <v>94</v>
      </c>
    </row>
    <row r="31" spans="2:5" x14ac:dyDescent="0.25">
      <c r="B31" s="6" t="s">
        <v>3</v>
      </c>
      <c r="C31" s="7" t="s">
        <v>39</v>
      </c>
      <c r="D31" s="7" t="s">
        <v>40</v>
      </c>
      <c r="E31" s="7">
        <v>67</v>
      </c>
    </row>
    <row r="32" spans="2:5" x14ac:dyDescent="0.25">
      <c r="B32" s="6" t="s">
        <v>22</v>
      </c>
      <c r="C32" s="7" t="s">
        <v>38</v>
      </c>
      <c r="D32" s="7" t="s">
        <v>41</v>
      </c>
      <c r="E32" s="7">
        <v>97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F18E-8875-4D2D-B444-A959D4DF8AAA}">
  <dimension ref="B2:F27"/>
  <sheetViews>
    <sheetView showGridLines="0" workbookViewId="0">
      <selection activeCell="F10" sqref="F10:F20"/>
    </sheetView>
  </sheetViews>
  <sheetFormatPr defaultColWidth="9" defaultRowHeight="15" x14ac:dyDescent="0.25"/>
  <cols>
    <col min="1" max="1" width="9" style="2"/>
    <col min="2" max="2" width="28.5703125" style="2" customWidth="1"/>
    <col min="3" max="3" width="8.7109375" style="2" bestFit="1" customWidth="1"/>
    <col min="4" max="4" width="9" style="2"/>
    <col min="5" max="5" width="9" style="2" customWidth="1"/>
    <col min="6" max="6" width="27.7109375" style="2" customWidth="1"/>
    <col min="7" max="7" width="9" style="2" customWidth="1"/>
    <col min="8" max="16384" width="9" style="2"/>
  </cols>
  <sheetData>
    <row r="2" spans="2:6" x14ac:dyDescent="0.25">
      <c r="B2" s="4" t="s">
        <v>80</v>
      </c>
      <c r="C2" s="4" t="s">
        <v>53</v>
      </c>
    </row>
    <row r="3" spans="2:6" x14ac:dyDescent="0.25">
      <c r="B3" s="7" t="s">
        <v>54</v>
      </c>
      <c r="C3" s="7">
        <v>3513</v>
      </c>
    </row>
    <row r="4" spans="2:6" x14ac:dyDescent="0.25">
      <c r="B4" s="7" t="s">
        <v>55</v>
      </c>
      <c r="C4" s="7">
        <v>9400</v>
      </c>
    </row>
    <row r="5" spans="2:6" x14ac:dyDescent="0.25">
      <c r="B5" s="7" t="s">
        <v>56</v>
      </c>
      <c r="C5" s="7">
        <v>9141</v>
      </c>
    </row>
    <row r="6" spans="2:6" x14ac:dyDescent="0.25">
      <c r="B6" s="7" t="s">
        <v>57</v>
      </c>
      <c r="C6" s="7">
        <v>1656</v>
      </c>
    </row>
    <row r="7" spans="2:6" x14ac:dyDescent="0.25">
      <c r="B7" s="7" t="s">
        <v>58</v>
      </c>
      <c r="C7" s="7">
        <v>2526</v>
      </c>
    </row>
    <row r="8" spans="2:6" x14ac:dyDescent="0.25">
      <c r="B8" s="7" t="s">
        <v>59</v>
      </c>
      <c r="C8" s="7">
        <v>8117</v>
      </c>
    </row>
    <row r="9" spans="2:6" x14ac:dyDescent="0.25">
      <c r="B9" s="7" t="s">
        <v>60</v>
      </c>
      <c r="C9" s="7">
        <v>8171</v>
      </c>
      <c r="E9" s="4" t="s">
        <v>53</v>
      </c>
      <c r="F9" s="4" t="s">
        <v>80</v>
      </c>
    </row>
    <row r="10" spans="2:6" x14ac:dyDescent="0.25">
      <c r="B10" s="7" t="s">
        <v>61</v>
      </c>
      <c r="C10" s="7">
        <v>3227</v>
      </c>
      <c r="E10" s="7">
        <v>8117</v>
      </c>
      <c r="F10" s="34" t="str">
        <f>_xlfn.XLOOKUP(E10,C3:C27,B3:B27,"nenalezeno",0,1)</f>
        <v>zuzana.pospisilova@firma.cz</v>
      </c>
    </row>
    <row r="11" spans="2:6" x14ac:dyDescent="0.25">
      <c r="B11" s="7" t="s">
        <v>62</v>
      </c>
      <c r="C11" s="7">
        <v>9393</v>
      </c>
      <c r="E11" s="7">
        <v>8171</v>
      </c>
      <c r="F11" s="34" t="str">
        <f t="shared" ref="F11:F20" si="0">_xlfn.XLOOKUP(E11,C4:C28,B4:B28,"nenalezeno",0,1)</f>
        <v>radim.kuzel@firma.cz</v>
      </c>
    </row>
    <row r="12" spans="2:6" x14ac:dyDescent="0.25">
      <c r="B12" s="7" t="s">
        <v>63</v>
      </c>
      <c r="C12" s="7">
        <v>5701</v>
      </c>
      <c r="E12" s="7">
        <v>1154</v>
      </c>
      <c r="F12" s="34" t="str">
        <f t="shared" si="0"/>
        <v>nenalezeno</v>
      </c>
    </row>
    <row r="13" spans="2:6" x14ac:dyDescent="0.25">
      <c r="B13" s="7" t="s">
        <v>64</v>
      </c>
      <c r="C13" s="7">
        <v>9393</v>
      </c>
      <c r="E13" s="7">
        <v>5701</v>
      </c>
      <c r="F13" s="34" t="str">
        <f t="shared" si="0"/>
        <v>irena.konecna@firma.cz</v>
      </c>
    </row>
    <row r="14" spans="2:6" x14ac:dyDescent="0.25">
      <c r="B14" s="7" t="s">
        <v>65</v>
      </c>
      <c r="C14" s="7">
        <v>5701</v>
      </c>
      <c r="E14" s="7">
        <v>9393</v>
      </c>
      <c r="F14" s="34" t="str">
        <f t="shared" si="0"/>
        <v>pavel.marek@firma.cz</v>
      </c>
    </row>
    <row r="15" spans="2:6" x14ac:dyDescent="0.25">
      <c r="B15" s="7" t="s">
        <v>66</v>
      </c>
      <c r="C15" s="7">
        <v>4372</v>
      </c>
      <c r="E15" s="7">
        <v>9400</v>
      </c>
      <c r="F15" s="34" t="str">
        <f t="shared" si="0"/>
        <v>nenalezeno</v>
      </c>
    </row>
    <row r="16" spans="2:6" x14ac:dyDescent="0.25">
      <c r="B16" s="7" t="s">
        <v>67</v>
      </c>
      <c r="C16" s="7">
        <v>4497</v>
      </c>
      <c r="E16" s="7">
        <v>1025</v>
      </c>
      <c r="F16" s="34" t="str">
        <f t="shared" si="0"/>
        <v>jiri.stepanek@firma.cz</v>
      </c>
    </row>
    <row r="17" spans="2:6" x14ac:dyDescent="0.25">
      <c r="B17" s="7" t="s">
        <v>68</v>
      </c>
      <c r="C17" s="7">
        <v>1025</v>
      </c>
      <c r="E17" s="7">
        <v>8100</v>
      </c>
      <c r="F17" s="34" t="str">
        <f t="shared" si="0"/>
        <v>jana.reznickova@firma.cz</v>
      </c>
    </row>
    <row r="18" spans="2:6" x14ac:dyDescent="0.25">
      <c r="B18" s="7" t="s">
        <v>69</v>
      </c>
      <c r="C18" s="7">
        <v>8100</v>
      </c>
      <c r="E18" s="7">
        <v>5568</v>
      </c>
      <c r="F18" s="34" t="str">
        <f t="shared" si="0"/>
        <v>nenalezeno</v>
      </c>
    </row>
    <row r="19" spans="2:6" x14ac:dyDescent="0.25">
      <c r="B19" s="7" t="s">
        <v>70</v>
      </c>
      <c r="C19" s="7">
        <v>7383</v>
      </c>
      <c r="E19" s="7">
        <v>4569</v>
      </c>
      <c r="F19" s="34" t="str">
        <f t="shared" si="0"/>
        <v>michaela.vackova@firma.cz</v>
      </c>
    </row>
    <row r="20" spans="2:6" x14ac:dyDescent="0.25">
      <c r="B20" s="7" t="s">
        <v>71</v>
      </c>
      <c r="C20" s="7">
        <v>6879</v>
      </c>
      <c r="E20" s="7">
        <v>9148</v>
      </c>
      <c r="F20" s="34" t="str">
        <f t="shared" si="0"/>
        <v>nenalezeno</v>
      </c>
    </row>
    <row r="21" spans="2:6" x14ac:dyDescent="0.25">
      <c r="B21" s="7" t="s">
        <v>72</v>
      </c>
      <c r="C21" s="7">
        <v>4231</v>
      </c>
    </row>
    <row r="22" spans="2:6" x14ac:dyDescent="0.25">
      <c r="B22" s="7" t="s">
        <v>73</v>
      </c>
      <c r="C22" s="7">
        <v>1717</v>
      </c>
    </row>
    <row r="23" spans="2:6" x14ac:dyDescent="0.25">
      <c r="B23" s="7" t="s">
        <v>74</v>
      </c>
      <c r="C23" s="7">
        <v>4338</v>
      </c>
    </row>
    <row r="24" spans="2:6" x14ac:dyDescent="0.25">
      <c r="B24" s="7" t="s">
        <v>75</v>
      </c>
      <c r="C24" s="7">
        <v>9393</v>
      </c>
    </row>
    <row r="25" spans="2:6" x14ac:dyDescent="0.25">
      <c r="B25" s="7" t="s">
        <v>76</v>
      </c>
      <c r="C25" s="7">
        <v>5701</v>
      </c>
    </row>
    <row r="26" spans="2:6" x14ac:dyDescent="0.25">
      <c r="B26" s="7" t="s">
        <v>77</v>
      </c>
      <c r="C26" s="7">
        <v>4569</v>
      </c>
    </row>
    <row r="27" spans="2:6" x14ac:dyDescent="0.25">
      <c r="B27" s="7" t="s">
        <v>78</v>
      </c>
      <c r="C27" s="7">
        <v>6949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0C78-44D8-410C-B602-DF7BF8546747}">
  <dimension ref="B6:H33"/>
  <sheetViews>
    <sheetView showGridLines="0" workbookViewId="0">
      <selection activeCell="D8" sqref="D8"/>
    </sheetView>
  </sheetViews>
  <sheetFormatPr defaultColWidth="9" defaultRowHeight="15" x14ac:dyDescent="0.25"/>
  <cols>
    <col min="1" max="1" width="9" style="2"/>
    <col min="2" max="2" width="61" style="2" customWidth="1"/>
    <col min="3" max="3" width="2.7109375" style="2" customWidth="1"/>
    <col min="4" max="4" width="20.85546875" style="2" customWidth="1"/>
    <col min="5" max="5" width="19.42578125" style="2" customWidth="1"/>
    <col min="6" max="6" width="7.5703125" style="2" customWidth="1"/>
    <col min="7" max="7" width="16" style="2" customWidth="1"/>
    <col min="8" max="8" width="14.5703125" style="2" customWidth="1"/>
    <col min="9" max="16384" width="9" style="2"/>
  </cols>
  <sheetData>
    <row r="6" spans="2:8" x14ac:dyDescent="0.25">
      <c r="D6" s="3" t="s">
        <v>79</v>
      </c>
      <c r="E6" s="3" t="s">
        <v>108</v>
      </c>
      <c r="F6" s="3" t="s">
        <v>109</v>
      </c>
      <c r="G6" s="3" t="s">
        <v>110</v>
      </c>
      <c r="H6" s="3" t="s">
        <v>111</v>
      </c>
    </row>
    <row r="7" spans="2:8" x14ac:dyDescent="0.25">
      <c r="B7" s="2" t="s">
        <v>81</v>
      </c>
      <c r="D7" s="35" t="s">
        <v>253</v>
      </c>
      <c r="E7" s="35" t="s">
        <v>254</v>
      </c>
      <c r="F7" s="35">
        <v>60200</v>
      </c>
      <c r="G7" s="35" t="s">
        <v>255</v>
      </c>
      <c r="H7" s="35" t="s">
        <v>256</v>
      </c>
    </row>
    <row r="8" spans="2:8" x14ac:dyDescent="0.25">
      <c r="B8" s="2" t="s">
        <v>82</v>
      </c>
      <c r="D8" s="35" t="s">
        <v>257</v>
      </c>
      <c r="E8" s="35" t="s">
        <v>258</v>
      </c>
      <c r="F8" s="35">
        <v>11000</v>
      </c>
      <c r="G8" s="35" t="s">
        <v>259</v>
      </c>
      <c r="H8" s="35" t="s">
        <v>256</v>
      </c>
    </row>
    <row r="9" spans="2:8" x14ac:dyDescent="0.25">
      <c r="B9" s="2" t="s">
        <v>83</v>
      </c>
      <c r="D9" s="35" t="s">
        <v>260</v>
      </c>
      <c r="E9" s="35" t="s">
        <v>261</v>
      </c>
      <c r="F9" s="35">
        <v>77900</v>
      </c>
      <c r="G9" s="35" t="s">
        <v>262</v>
      </c>
      <c r="H9" s="35" t="s">
        <v>256</v>
      </c>
    </row>
    <row r="10" spans="2:8" x14ac:dyDescent="0.25">
      <c r="B10" s="2" t="s">
        <v>84</v>
      </c>
      <c r="D10" s="35" t="s">
        <v>263</v>
      </c>
      <c r="E10" s="35" t="s">
        <v>264</v>
      </c>
      <c r="F10" s="35">
        <v>61200</v>
      </c>
      <c r="G10" s="35" t="s">
        <v>255</v>
      </c>
      <c r="H10" s="35" t="s">
        <v>256</v>
      </c>
    </row>
    <row r="11" spans="2:8" x14ac:dyDescent="0.25">
      <c r="B11" s="2" t="s">
        <v>85</v>
      </c>
      <c r="D11" s="35" t="s">
        <v>265</v>
      </c>
      <c r="E11" s="35" t="s">
        <v>266</v>
      </c>
      <c r="F11" s="35">
        <v>37001</v>
      </c>
      <c r="G11" s="35" t="s">
        <v>267</v>
      </c>
      <c r="H11" s="35" t="s">
        <v>256</v>
      </c>
    </row>
    <row r="12" spans="2:8" x14ac:dyDescent="0.25">
      <c r="B12" s="2" t="s">
        <v>86</v>
      </c>
      <c r="D12" s="35" t="s">
        <v>268</v>
      </c>
      <c r="E12" s="35" t="s">
        <v>269</v>
      </c>
      <c r="F12" s="35">
        <v>46001</v>
      </c>
      <c r="G12" s="35" t="s">
        <v>270</v>
      </c>
      <c r="H12" s="35" t="s">
        <v>256</v>
      </c>
    </row>
    <row r="13" spans="2:8" x14ac:dyDescent="0.25">
      <c r="B13" s="2" t="s">
        <v>87</v>
      </c>
      <c r="D13" s="35" t="s">
        <v>271</v>
      </c>
      <c r="E13" s="35" t="s">
        <v>272</v>
      </c>
      <c r="F13" s="35">
        <v>11000</v>
      </c>
      <c r="G13" s="35" t="s">
        <v>259</v>
      </c>
      <c r="H13" s="35" t="s">
        <v>256</v>
      </c>
    </row>
    <row r="14" spans="2:8" x14ac:dyDescent="0.25">
      <c r="B14" s="2" t="s">
        <v>88</v>
      </c>
      <c r="D14" s="35" t="s">
        <v>273</v>
      </c>
      <c r="E14" s="35" t="s">
        <v>274</v>
      </c>
      <c r="F14" s="35">
        <v>40001</v>
      </c>
      <c r="G14" s="35" t="s">
        <v>275</v>
      </c>
      <c r="H14" s="35" t="s">
        <v>256</v>
      </c>
    </row>
    <row r="15" spans="2:8" x14ac:dyDescent="0.25">
      <c r="B15" s="2" t="s">
        <v>89</v>
      </c>
      <c r="D15" s="35" t="s">
        <v>276</v>
      </c>
      <c r="E15" s="35" t="s">
        <v>277</v>
      </c>
      <c r="F15" s="35">
        <v>70200</v>
      </c>
      <c r="G15" s="35" t="s">
        <v>278</v>
      </c>
      <c r="H15" s="35" t="s">
        <v>256</v>
      </c>
    </row>
    <row r="16" spans="2:8" x14ac:dyDescent="0.25">
      <c r="B16" s="2" t="s">
        <v>90</v>
      </c>
      <c r="D16" s="35" t="s">
        <v>279</v>
      </c>
      <c r="E16" s="35" t="s">
        <v>280</v>
      </c>
      <c r="F16" s="35">
        <v>60200</v>
      </c>
      <c r="G16" s="35" t="s">
        <v>255</v>
      </c>
      <c r="H16" s="35" t="s">
        <v>256</v>
      </c>
    </row>
    <row r="17" spans="2:8" x14ac:dyDescent="0.25">
      <c r="B17" s="2" t="s">
        <v>91</v>
      </c>
      <c r="D17" s="35" t="s">
        <v>281</v>
      </c>
      <c r="E17" s="35" t="s">
        <v>282</v>
      </c>
      <c r="F17" s="35">
        <v>70200</v>
      </c>
      <c r="G17" s="35" t="s">
        <v>278</v>
      </c>
      <c r="H17" s="35" t="s">
        <v>256</v>
      </c>
    </row>
    <row r="18" spans="2:8" x14ac:dyDescent="0.25">
      <c r="B18" s="2" t="s">
        <v>92</v>
      </c>
      <c r="D18" s="35" t="s">
        <v>283</v>
      </c>
      <c r="E18" s="35" t="s">
        <v>284</v>
      </c>
      <c r="F18" s="35">
        <v>61200</v>
      </c>
      <c r="G18" s="35" t="s">
        <v>255</v>
      </c>
      <c r="H18" s="35" t="s">
        <v>256</v>
      </c>
    </row>
    <row r="19" spans="2:8" x14ac:dyDescent="0.25">
      <c r="B19" s="2" t="s">
        <v>93</v>
      </c>
      <c r="D19" s="35" t="s">
        <v>285</v>
      </c>
      <c r="E19" s="35" t="s">
        <v>286</v>
      </c>
      <c r="F19" s="35">
        <v>11000</v>
      </c>
      <c r="G19" s="35" t="s">
        <v>259</v>
      </c>
      <c r="H19" s="35" t="s">
        <v>256</v>
      </c>
    </row>
    <row r="20" spans="2:8" x14ac:dyDescent="0.25">
      <c r="B20" s="2" t="s">
        <v>94</v>
      </c>
      <c r="D20" s="35" t="s">
        <v>287</v>
      </c>
      <c r="E20" s="35" t="s">
        <v>288</v>
      </c>
      <c r="F20" s="35">
        <v>77900</v>
      </c>
      <c r="G20" s="35" t="s">
        <v>262</v>
      </c>
      <c r="H20" s="35" t="s">
        <v>256</v>
      </c>
    </row>
    <row r="21" spans="2:8" x14ac:dyDescent="0.25">
      <c r="B21" s="2" t="s">
        <v>95</v>
      </c>
      <c r="D21" s="35" t="s">
        <v>289</v>
      </c>
      <c r="E21" s="35" t="s">
        <v>290</v>
      </c>
      <c r="F21" s="35">
        <v>37001</v>
      </c>
      <c r="G21" s="35" t="s">
        <v>267</v>
      </c>
      <c r="H21" s="35" t="s">
        <v>256</v>
      </c>
    </row>
    <row r="22" spans="2:8" x14ac:dyDescent="0.25">
      <c r="B22" s="2" t="s">
        <v>96</v>
      </c>
      <c r="D22" s="35" t="s">
        <v>291</v>
      </c>
      <c r="E22" s="35" t="s">
        <v>292</v>
      </c>
      <c r="F22" s="35">
        <v>46001</v>
      </c>
      <c r="G22" s="35" t="s">
        <v>270</v>
      </c>
      <c r="H22" s="35" t="s">
        <v>256</v>
      </c>
    </row>
    <row r="23" spans="2:8" x14ac:dyDescent="0.25">
      <c r="B23" s="2" t="s">
        <v>97</v>
      </c>
      <c r="D23" s="35" t="s">
        <v>293</v>
      </c>
      <c r="E23" s="35" t="s">
        <v>294</v>
      </c>
      <c r="F23" s="35">
        <v>40001</v>
      </c>
      <c r="G23" s="35" t="s">
        <v>275</v>
      </c>
      <c r="H23" s="35" t="s">
        <v>256</v>
      </c>
    </row>
    <row r="24" spans="2:8" x14ac:dyDescent="0.25">
      <c r="B24" s="2" t="s">
        <v>98</v>
      </c>
      <c r="D24" s="35" t="s">
        <v>295</v>
      </c>
      <c r="E24" s="35" t="s">
        <v>296</v>
      </c>
      <c r="F24" s="35">
        <v>70200</v>
      </c>
      <c r="G24" s="35" t="s">
        <v>278</v>
      </c>
      <c r="H24" s="35" t="s">
        <v>256</v>
      </c>
    </row>
    <row r="25" spans="2:8" x14ac:dyDescent="0.25">
      <c r="B25" s="2" t="s">
        <v>99</v>
      </c>
      <c r="D25" s="35" t="s">
        <v>297</v>
      </c>
      <c r="E25" s="35" t="s">
        <v>298</v>
      </c>
      <c r="F25" s="35">
        <v>11000</v>
      </c>
      <c r="G25" s="35" t="s">
        <v>259</v>
      </c>
      <c r="H25" s="35" t="s">
        <v>256</v>
      </c>
    </row>
    <row r="26" spans="2:8" x14ac:dyDescent="0.25">
      <c r="B26" s="2" t="s">
        <v>100</v>
      </c>
      <c r="D26" s="35" t="s">
        <v>299</v>
      </c>
      <c r="E26" s="35" t="s">
        <v>300</v>
      </c>
      <c r="F26" s="35">
        <v>60200</v>
      </c>
      <c r="G26" s="35" t="s">
        <v>255</v>
      </c>
      <c r="H26" s="35" t="s">
        <v>256</v>
      </c>
    </row>
    <row r="27" spans="2:8" x14ac:dyDescent="0.25">
      <c r="B27" s="2" t="s">
        <v>101</v>
      </c>
      <c r="D27" s="35" t="s">
        <v>301</v>
      </c>
      <c r="E27" s="35" t="s">
        <v>302</v>
      </c>
      <c r="F27" s="35">
        <v>77900</v>
      </c>
      <c r="G27" s="35" t="s">
        <v>262</v>
      </c>
      <c r="H27" s="35" t="s">
        <v>256</v>
      </c>
    </row>
    <row r="28" spans="2:8" x14ac:dyDescent="0.25">
      <c r="B28" s="2" t="s">
        <v>102</v>
      </c>
      <c r="D28" s="35" t="s">
        <v>303</v>
      </c>
      <c r="E28" s="35" t="s">
        <v>304</v>
      </c>
      <c r="F28" s="35">
        <v>61200</v>
      </c>
      <c r="G28" s="35" t="s">
        <v>255</v>
      </c>
      <c r="H28" s="35" t="s">
        <v>256</v>
      </c>
    </row>
    <row r="29" spans="2:8" x14ac:dyDescent="0.25">
      <c r="B29" s="2" t="s">
        <v>103</v>
      </c>
      <c r="D29" s="35" t="s">
        <v>305</v>
      </c>
      <c r="E29" s="35" t="s">
        <v>306</v>
      </c>
      <c r="F29" s="35">
        <v>37001</v>
      </c>
      <c r="G29" s="35" t="s">
        <v>267</v>
      </c>
      <c r="H29" s="35" t="s">
        <v>256</v>
      </c>
    </row>
    <row r="30" spans="2:8" x14ac:dyDescent="0.25">
      <c r="B30" s="2" t="s">
        <v>104</v>
      </c>
      <c r="D30" s="35" t="s">
        <v>307</v>
      </c>
      <c r="E30" s="35" t="s">
        <v>308</v>
      </c>
      <c r="F30" s="35">
        <v>46001</v>
      </c>
      <c r="G30" s="35" t="s">
        <v>270</v>
      </c>
      <c r="H30" s="35" t="s">
        <v>256</v>
      </c>
    </row>
    <row r="31" spans="2:8" x14ac:dyDescent="0.25">
      <c r="B31" s="2" t="s">
        <v>105</v>
      </c>
      <c r="D31" s="35" t="s">
        <v>309</v>
      </c>
      <c r="E31" s="35" t="s">
        <v>310</v>
      </c>
      <c r="F31" s="35">
        <v>40001</v>
      </c>
      <c r="G31" s="35" t="s">
        <v>275</v>
      </c>
      <c r="H31" s="35" t="s">
        <v>256</v>
      </c>
    </row>
    <row r="32" spans="2:8" x14ac:dyDescent="0.25">
      <c r="B32" s="2" t="s">
        <v>106</v>
      </c>
      <c r="D32" s="35" t="s">
        <v>311</v>
      </c>
      <c r="E32" s="35" t="s">
        <v>312</v>
      </c>
      <c r="F32" s="35">
        <v>11000</v>
      </c>
      <c r="G32" s="35" t="s">
        <v>259</v>
      </c>
      <c r="H32" s="35" t="s">
        <v>256</v>
      </c>
    </row>
    <row r="33" spans="2:8" x14ac:dyDescent="0.25">
      <c r="B33" s="2" t="s">
        <v>107</v>
      </c>
      <c r="D33" s="35" t="s">
        <v>313</v>
      </c>
      <c r="E33" s="35" t="s">
        <v>314</v>
      </c>
      <c r="F33" s="35">
        <v>60200</v>
      </c>
      <c r="G33" s="35" t="s">
        <v>255</v>
      </c>
      <c r="H33" s="35" t="s">
        <v>256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F01B-BDBA-49C2-8975-EF00CCECAA5F}">
  <dimension ref="B5:J30"/>
  <sheetViews>
    <sheetView showGridLines="0" workbookViewId="0">
      <selection activeCell="D19" sqref="D19"/>
    </sheetView>
  </sheetViews>
  <sheetFormatPr defaultColWidth="9" defaultRowHeight="15" x14ac:dyDescent="0.25"/>
  <cols>
    <col min="1" max="1" width="9" style="2"/>
    <col min="2" max="2" width="20.85546875" style="2" customWidth="1"/>
    <col min="3" max="3" width="19.42578125" style="2" customWidth="1"/>
    <col min="4" max="4" width="17.5703125" style="2" customWidth="1"/>
    <col min="5" max="9" width="9" style="2"/>
    <col min="10" max="10" width="11.42578125" style="2" customWidth="1"/>
    <col min="11" max="16384" width="9" style="2"/>
  </cols>
  <sheetData>
    <row r="5" spans="2:5" x14ac:dyDescent="0.25">
      <c r="B5" s="10" t="s">
        <v>315</v>
      </c>
      <c r="C5" s="11" t="s">
        <v>113</v>
      </c>
      <c r="D5" s="12" t="s">
        <v>114</v>
      </c>
      <c r="E5"/>
    </row>
    <row r="6" spans="2:5" x14ac:dyDescent="0.25">
      <c r="B6" s="9" t="s">
        <v>0</v>
      </c>
      <c r="C6" s="34" t="s">
        <v>316</v>
      </c>
      <c r="D6" s="36"/>
      <c r="E6"/>
    </row>
    <row r="7" spans="2:5" x14ac:dyDescent="0.25">
      <c r="B7" s="9" t="s">
        <v>1</v>
      </c>
      <c r="C7" s="34"/>
      <c r="D7" s="36"/>
      <c r="E7"/>
    </row>
    <row r="8" spans="2:5" x14ac:dyDescent="0.25">
      <c r="B8" s="9" t="s">
        <v>2</v>
      </c>
      <c r="C8" s="34" t="s">
        <v>317</v>
      </c>
      <c r="D8" s="36"/>
      <c r="E8"/>
    </row>
    <row r="9" spans="2:5" x14ac:dyDescent="0.25">
      <c r="B9" s="9" t="s">
        <v>3</v>
      </c>
      <c r="C9" s="34"/>
      <c r="D9" s="36"/>
      <c r="E9"/>
    </row>
    <row r="10" spans="2:5" x14ac:dyDescent="0.25">
      <c r="B10" s="9" t="s">
        <v>4</v>
      </c>
      <c r="C10" s="34"/>
      <c r="D10" s="36"/>
      <c r="E10"/>
    </row>
    <row r="11" spans="2:5" x14ac:dyDescent="0.25">
      <c r="B11" s="9" t="s">
        <v>5</v>
      </c>
      <c r="C11" s="34"/>
      <c r="D11" s="36"/>
      <c r="E11"/>
    </row>
    <row r="12" spans="2:5" x14ac:dyDescent="0.25">
      <c r="B12" s="9" t="s">
        <v>6</v>
      </c>
      <c r="C12" s="34"/>
      <c r="D12" s="36"/>
      <c r="E12"/>
    </row>
    <row r="13" spans="2:5" x14ac:dyDescent="0.25">
      <c r="B13" s="9" t="s">
        <v>7</v>
      </c>
      <c r="C13" s="34"/>
      <c r="D13" s="36"/>
      <c r="E13"/>
    </row>
    <row r="14" spans="2:5" x14ac:dyDescent="0.25">
      <c r="B14" s="9" t="s">
        <v>8</v>
      </c>
      <c r="C14" s="34"/>
      <c r="D14" s="36"/>
      <c r="E14"/>
    </row>
    <row r="15" spans="2:5" x14ac:dyDescent="0.25">
      <c r="B15" s="9" t="s">
        <v>9</v>
      </c>
      <c r="C15" s="34"/>
      <c r="D15" s="36"/>
      <c r="E15"/>
    </row>
    <row r="16" spans="2:5" x14ac:dyDescent="0.25">
      <c r="B16" s="9" t="s">
        <v>10</v>
      </c>
      <c r="C16" s="34"/>
      <c r="D16" s="36"/>
      <c r="E16"/>
    </row>
    <row r="17" spans="2:10" x14ac:dyDescent="0.25">
      <c r="B17" s="9" t="s">
        <v>11</v>
      </c>
      <c r="C17" s="34"/>
      <c r="D17" s="36"/>
      <c r="E17"/>
    </row>
    <row r="18" spans="2:10" x14ac:dyDescent="0.25">
      <c r="B18" s="9" t="s">
        <v>12</v>
      </c>
      <c r="C18" s="34"/>
      <c r="D18" s="36">
        <v>2121</v>
      </c>
      <c r="E18"/>
      <c r="J18" s="40" t="s">
        <v>318</v>
      </c>
    </row>
    <row r="19" spans="2:10" x14ac:dyDescent="0.25">
      <c r="B19" s="9" t="s">
        <v>13</v>
      </c>
      <c r="C19" s="34"/>
      <c r="D19" s="36"/>
      <c r="E19"/>
      <c r="J19" s="6" t="s">
        <v>316</v>
      </c>
    </row>
    <row r="20" spans="2:10" x14ac:dyDescent="0.25">
      <c r="B20" s="9" t="s">
        <v>14</v>
      </c>
      <c r="C20" s="34"/>
      <c r="D20" s="36"/>
      <c r="E20"/>
      <c r="J20" s="6" t="s">
        <v>317</v>
      </c>
    </row>
    <row r="21" spans="2:10" x14ac:dyDescent="0.25">
      <c r="B21" s="9" t="s">
        <v>15</v>
      </c>
      <c r="C21" s="34"/>
      <c r="D21" s="36"/>
      <c r="E21"/>
    </row>
    <row r="22" spans="2:10" x14ac:dyDescent="0.25">
      <c r="B22" s="9" t="s">
        <v>16</v>
      </c>
      <c r="C22" s="34"/>
      <c r="D22" s="36"/>
      <c r="E22"/>
    </row>
    <row r="23" spans="2:10" x14ac:dyDescent="0.25">
      <c r="B23" s="9" t="s">
        <v>17</v>
      </c>
      <c r="C23" s="34"/>
      <c r="D23" s="36"/>
      <c r="E23"/>
    </row>
    <row r="24" spans="2:10" x14ac:dyDescent="0.25">
      <c r="B24" s="9" t="s">
        <v>18</v>
      </c>
      <c r="C24" s="34"/>
      <c r="D24" s="36"/>
      <c r="E24"/>
    </row>
    <row r="25" spans="2:10" x14ac:dyDescent="0.25">
      <c r="B25" s="9" t="s">
        <v>19</v>
      </c>
      <c r="C25" s="34"/>
      <c r="D25" s="36"/>
      <c r="E25"/>
    </row>
    <row r="26" spans="2:10" x14ac:dyDescent="0.25">
      <c r="B26" s="9" t="s">
        <v>20</v>
      </c>
      <c r="C26" s="34"/>
      <c r="D26" s="36"/>
      <c r="E26"/>
    </row>
    <row r="27" spans="2:10" x14ac:dyDescent="0.25">
      <c r="B27" s="9" t="s">
        <v>21</v>
      </c>
      <c r="C27" s="34"/>
      <c r="D27" s="36"/>
      <c r="E27"/>
    </row>
    <row r="28" spans="2:10" x14ac:dyDescent="0.25">
      <c r="B28" s="9" t="s">
        <v>22</v>
      </c>
      <c r="C28" s="34"/>
      <c r="D28" s="36"/>
      <c r="E28"/>
    </row>
    <row r="29" spans="2:10" x14ac:dyDescent="0.25">
      <c r="B29" s="9" t="s">
        <v>23</v>
      </c>
      <c r="C29" s="34"/>
      <c r="D29" s="36"/>
      <c r="E29"/>
    </row>
    <row r="30" spans="2:10" x14ac:dyDescent="0.25">
      <c r="B30" s="13" t="s">
        <v>24</v>
      </c>
      <c r="C30" s="37"/>
      <c r="D30" s="38"/>
    </row>
  </sheetData>
  <dataValidations count="2">
    <dataValidation type="list" allowBlank="1" showInputMessage="1" showErrorMessage="1" sqref="C6:C30" xr:uid="{73BE5A89-D4BE-421B-9CE4-AB712DDDA292}">
      <formula1>$J$19:$J$20</formula1>
    </dataValidation>
    <dataValidation type="whole" allowBlank="1" showInputMessage="1" showErrorMessage="1" sqref="D6:D30" xr:uid="{6752C93E-F714-4E2E-89CE-4B1DF5FA22EB}">
      <formula1>1000</formula1>
      <formula2>9999</formula2>
    </dataValidation>
  </dataValidations>
  <pageMargins left="0.7" right="0.7" top="0.78740157499999996" bottom="0.78740157499999996" header="0.3" footer="0.3"/>
  <pageSetup paperSize="9" orientation="portrait" horizontalDpi="4294967293" verticalDpi="0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1D7A-1299-4DE2-A3D0-2BCDCFAD5ECF}">
  <dimension ref="B2:F27"/>
  <sheetViews>
    <sheetView showGridLines="0" workbookViewId="0">
      <selection activeCell="B2" sqref="B2:D27"/>
    </sheetView>
  </sheetViews>
  <sheetFormatPr defaultColWidth="9" defaultRowHeight="15" x14ac:dyDescent="0.25"/>
  <cols>
    <col min="1" max="1" width="9" style="2"/>
    <col min="2" max="2" width="16.5703125" style="2" customWidth="1"/>
    <col min="3" max="3" width="20.85546875" style="2" customWidth="1"/>
    <col min="4" max="4" width="21.140625" style="2" bestFit="1" customWidth="1"/>
    <col min="5" max="16384" width="9" style="2"/>
  </cols>
  <sheetData>
    <row r="2" spans="2:6" x14ac:dyDescent="0.25">
      <c r="B2" s="18" t="s">
        <v>114</v>
      </c>
      <c r="C2" s="16" t="s">
        <v>112</v>
      </c>
      <c r="D2" s="17" t="s">
        <v>115</v>
      </c>
      <c r="F2"/>
    </row>
    <row r="3" spans="2:6" x14ac:dyDescent="0.25">
      <c r="B3" s="15">
        <v>7737</v>
      </c>
      <c r="C3" s="14" t="s">
        <v>0</v>
      </c>
      <c r="D3" s="8">
        <v>125</v>
      </c>
      <c r="F3"/>
    </row>
    <row r="4" spans="2:6" x14ac:dyDescent="0.25">
      <c r="B4" s="15">
        <v>6636</v>
      </c>
      <c r="C4" s="14" t="s">
        <v>1</v>
      </c>
      <c r="D4" s="8">
        <v>168</v>
      </c>
      <c r="F4"/>
    </row>
    <row r="5" spans="2:6" x14ac:dyDescent="0.25">
      <c r="B5" s="15">
        <v>7440</v>
      </c>
      <c r="C5" s="14" t="s">
        <v>2</v>
      </c>
      <c r="D5" s="8">
        <v>101</v>
      </c>
      <c r="F5"/>
    </row>
    <row r="6" spans="2:6" x14ac:dyDescent="0.25">
      <c r="B6" s="15">
        <v>2043</v>
      </c>
      <c r="C6" s="14" t="s">
        <v>3</v>
      </c>
      <c r="D6" s="8">
        <v>121</v>
      </c>
      <c r="F6"/>
    </row>
    <row r="7" spans="2:6" x14ac:dyDescent="0.25">
      <c r="B7" s="15">
        <v>1349</v>
      </c>
      <c r="C7" s="14" t="s">
        <v>4</v>
      </c>
      <c r="D7" s="8">
        <v>85</v>
      </c>
      <c r="F7"/>
    </row>
    <row r="8" spans="2:6" x14ac:dyDescent="0.25">
      <c r="B8" s="15">
        <v>5145</v>
      </c>
      <c r="C8" s="14" t="s">
        <v>5</v>
      </c>
      <c r="D8" s="8">
        <v>170</v>
      </c>
      <c r="F8"/>
    </row>
    <row r="9" spans="2:6" x14ac:dyDescent="0.25">
      <c r="B9" s="15">
        <v>6350</v>
      </c>
      <c r="C9" s="14" t="s">
        <v>6</v>
      </c>
      <c r="D9" s="8">
        <v>119</v>
      </c>
      <c r="F9"/>
    </row>
    <row r="10" spans="2:6" x14ac:dyDescent="0.25">
      <c r="B10" s="15">
        <v>9675</v>
      </c>
      <c r="C10" s="14" t="s">
        <v>7</v>
      </c>
      <c r="D10" s="8">
        <v>171</v>
      </c>
      <c r="F10"/>
    </row>
    <row r="11" spans="2:6" x14ac:dyDescent="0.25">
      <c r="B11" s="15">
        <v>4234</v>
      </c>
      <c r="C11" s="14" t="s">
        <v>8</v>
      </c>
      <c r="D11" s="8">
        <v>126</v>
      </c>
      <c r="F11"/>
    </row>
    <row r="12" spans="2:6" x14ac:dyDescent="0.25">
      <c r="B12" s="15">
        <v>1487</v>
      </c>
      <c r="C12" s="14" t="s">
        <v>9</v>
      </c>
      <c r="D12" s="8">
        <v>141</v>
      </c>
      <c r="F12"/>
    </row>
    <row r="13" spans="2:6" x14ac:dyDescent="0.25">
      <c r="B13" s="15">
        <v>5560</v>
      </c>
      <c r="C13" s="14" t="s">
        <v>10</v>
      </c>
      <c r="D13" s="8">
        <v>122</v>
      </c>
      <c r="F13"/>
    </row>
    <row r="14" spans="2:6" x14ac:dyDescent="0.25">
      <c r="B14" s="15">
        <v>6507</v>
      </c>
      <c r="C14" s="14" t="s">
        <v>11</v>
      </c>
      <c r="D14" s="8">
        <v>112</v>
      </c>
      <c r="F14"/>
    </row>
    <row r="15" spans="2:6" x14ac:dyDescent="0.25">
      <c r="B15" s="15">
        <v>7666</v>
      </c>
      <c r="C15" s="14" t="s">
        <v>12</v>
      </c>
      <c r="D15" s="8">
        <v>190</v>
      </c>
      <c r="F15"/>
    </row>
    <row r="16" spans="2:6" x14ac:dyDescent="0.25">
      <c r="B16" s="15">
        <v>4497</v>
      </c>
      <c r="C16" s="14" t="s">
        <v>13</v>
      </c>
      <c r="D16" s="8">
        <v>99</v>
      </c>
      <c r="F16"/>
    </row>
    <row r="17" spans="2:6" x14ac:dyDescent="0.25">
      <c r="B17" s="15">
        <v>9372</v>
      </c>
      <c r="C17" s="14" t="s">
        <v>14</v>
      </c>
      <c r="D17" s="8">
        <v>168</v>
      </c>
      <c r="F17"/>
    </row>
    <row r="18" spans="2:6" x14ac:dyDescent="0.25">
      <c r="B18" s="15">
        <v>8297</v>
      </c>
      <c r="C18" s="14" t="s">
        <v>15</v>
      </c>
      <c r="D18" s="8">
        <v>168</v>
      </c>
      <c r="F18"/>
    </row>
    <row r="19" spans="2:6" x14ac:dyDescent="0.25">
      <c r="B19" s="15">
        <v>8552</v>
      </c>
      <c r="C19" s="14" t="s">
        <v>16</v>
      </c>
      <c r="D19" s="8">
        <v>121</v>
      </c>
      <c r="F19"/>
    </row>
    <row r="20" spans="2:6" x14ac:dyDescent="0.25">
      <c r="B20" s="15">
        <v>5604</v>
      </c>
      <c r="C20" s="14" t="s">
        <v>17</v>
      </c>
      <c r="D20" s="8">
        <v>110</v>
      </c>
      <c r="F20"/>
    </row>
    <row r="21" spans="2:6" x14ac:dyDescent="0.25">
      <c r="B21" s="15">
        <v>9062</v>
      </c>
      <c r="C21" s="14" t="s">
        <v>18</v>
      </c>
      <c r="D21" s="8">
        <v>148</v>
      </c>
      <c r="F21"/>
    </row>
    <row r="22" spans="2:6" x14ac:dyDescent="0.25">
      <c r="B22" s="15">
        <v>9856</v>
      </c>
      <c r="C22" s="14" t="s">
        <v>19</v>
      </c>
      <c r="D22" s="8">
        <v>166</v>
      </c>
      <c r="F22"/>
    </row>
    <row r="23" spans="2:6" x14ac:dyDescent="0.25">
      <c r="B23" s="15">
        <v>4751</v>
      </c>
      <c r="C23" s="14" t="s">
        <v>3</v>
      </c>
      <c r="D23" s="8">
        <v>104</v>
      </c>
      <c r="F23"/>
    </row>
    <row r="24" spans="2:6" x14ac:dyDescent="0.25">
      <c r="B24" s="15">
        <v>3451</v>
      </c>
      <c r="C24" s="14" t="s">
        <v>21</v>
      </c>
      <c r="D24" s="8">
        <v>176</v>
      </c>
      <c r="F24"/>
    </row>
    <row r="25" spans="2:6" x14ac:dyDescent="0.25">
      <c r="B25" s="15">
        <v>1011</v>
      </c>
      <c r="C25" s="14" t="s">
        <v>22</v>
      </c>
      <c r="D25" s="8">
        <v>181</v>
      </c>
      <c r="F25"/>
    </row>
    <row r="26" spans="2:6" x14ac:dyDescent="0.25">
      <c r="B26" s="15">
        <v>1357</v>
      </c>
      <c r="C26" s="14" t="s">
        <v>23</v>
      </c>
      <c r="D26" s="8">
        <v>167</v>
      </c>
      <c r="F26"/>
    </row>
    <row r="27" spans="2:6" x14ac:dyDescent="0.25">
      <c r="B27" s="21">
        <v>8570</v>
      </c>
      <c r="C27" s="19" t="s">
        <v>24</v>
      </c>
      <c r="D27" s="20">
        <v>178</v>
      </c>
    </row>
  </sheetData>
  <conditionalFormatting sqref="B2:D27">
    <cfRule type="expression" dxfId="2" priority="1">
      <formula>$D2 &lt; 120</formula>
    </cfRule>
  </conditionalFormatting>
  <conditionalFormatting sqref="D2">
    <cfRule type="top10" dxfId="1" priority="5" rank="3"/>
  </conditionalFormatting>
  <conditionalFormatting sqref="D3:D27">
    <cfRule type="top10" dxfId="0" priority="4" rank="3"/>
  </conditionalFormatting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E30B-439C-4186-9AFA-B0FD2808A0ED}">
  <dimension ref="B7:H30"/>
  <sheetViews>
    <sheetView showGridLines="0" topLeftCell="A3" workbookViewId="0">
      <selection activeCell="H9" sqref="H9"/>
    </sheetView>
  </sheetViews>
  <sheetFormatPr defaultColWidth="9" defaultRowHeight="15" x14ac:dyDescent="0.25"/>
  <cols>
    <col min="1" max="1" width="9" style="2"/>
    <col min="2" max="2" width="16.7109375" style="2" customWidth="1"/>
    <col min="3" max="3" width="33.42578125" style="2" customWidth="1"/>
    <col min="4" max="4" width="11" style="2" customWidth="1"/>
    <col min="5" max="5" width="12.28515625" style="2" customWidth="1"/>
    <col min="6" max="6" width="18.28515625" style="2" customWidth="1"/>
    <col min="7" max="7" width="9.7109375" style="2" customWidth="1"/>
    <col min="8" max="8" width="10" style="2" customWidth="1"/>
    <col min="9" max="16384" width="9" style="2"/>
  </cols>
  <sheetData>
    <row r="7" spans="2:8" x14ac:dyDescent="0.25">
      <c r="B7" s="4" t="s">
        <v>139</v>
      </c>
      <c r="C7" s="4" t="s">
        <v>152</v>
      </c>
      <c r="D7" s="4" t="s">
        <v>79</v>
      </c>
      <c r="E7" s="4" t="s">
        <v>140</v>
      </c>
      <c r="F7" s="4" t="s">
        <v>151</v>
      </c>
      <c r="G7" s="4" t="s">
        <v>142</v>
      </c>
      <c r="H7" s="4" t="s">
        <v>143</v>
      </c>
    </row>
    <row r="8" spans="2:8" x14ac:dyDescent="0.25">
      <c r="B8" s="22">
        <v>45312</v>
      </c>
      <c r="C8" s="8" t="s">
        <v>117</v>
      </c>
      <c r="D8" s="8" t="s">
        <v>144</v>
      </c>
      <c r="E8" s="8" t="s">
        <v>145</v>
      </c>
      <c r="F8" s="8" t="s">
        <v>147</v>
      </c>
      <c r="G8" s="8">
        <v>1</v>
      </c>
      <c r="H8" s="8">
        <v>21</v>
      </c>
    </row>
    <row r="9" spans="2:8" x14ac:dyDescent="0.25">
      <c r="B9" s="22">
        <v>45315</v>
      </c>
      <c r="C9" s="8" t="s">
        <v>131</v>
      </c>
      <c r="D9" s="34" t="s">
        <v>148</v>
      </c>
      <c r="E9" s="34" t="s">
        <v>338</v>
      </c>
      <c r="F9" s="34" t="s">
        <v>360</v>
      </c>
      <c r="G9" s="34">
        <v>1</v>
      </c>
      <c r="H9" s="34">
        <v>24</v>
      </c>
    </row>
    <row r="10" spans="2:8" x14ac:dyDescent="0.25">
      <c r="B10" s="22">
        <v>45321</v>
      </c>
      <c r="C10" s="8" t="s">
        <v>137</v>
      </c>
      <c r="D10" s="34" t="s">
        <v>319</v>
      </c>
      <c r="E10" s="34" t="s">
        <v>339</v>
      </c>
      <c r="F10" s="34" t="s">
        <v>361</v>
      </c>
      <c r="G10" s="34">
        <v>1</v>
      </c>
      <c r="H10" s="34">
        <v>30</v>
      </c>
    </row>
    <row r="11" spans="2:8" x14ac:dyDescent="0.25">
      <c r="B11" s="22">
        <v>45341</v>
      </c>
      <c r="C11" s="8" t="s">
        <v>127</v>
      </c>
      <c r="D11" s="34" t="s">
        <v>320</v>
      </c>
      <c r="E11" s="34" t="s">
        <v>340</v>
      </c>
      <c r="F11" s="34" t="s">
        <v>362</v>
      </c>
      <c r="G11" s="34">
        <v>2</v>
      </c>
      <c r="H11" s="34">
        <v>19</v>
      </c>
    </row>
    <row r="12" spans="2:8" x14ac:dyDescent="0.25">
      <c r="B12" s="22">
        <v>45363</v>
      </c>
      <c r="C12" s="8" t="s">
        <v>125</v>
      </c>
      <c r="D12" s="34" t="s">
        <v>321</v>
      </c>
      <c r="E12" s="34" t="s">
        <v>341</v>
      </c>
      <c r="F12" s="34" t="s">
        <v>363</v>
      </c>
      <c r="G12" s="34">
        <v>3</v>
      </c>
      <c r="H12" s="34">
        <v>12</v>
      </c>
    </row>
    <row r="13" spans="2:8" x14ac:dyDescent="0.25">
      <c r="B13" s="22">
        <v>45373</v>
      </c>
      <c r="C13" s="8" t="s">
        <v>128</v>
      </c>
      <c r="D13" s="34" t="s">
        <v>322</v>
      </c>
      <c r="E13" s="34" t="s">
        <v>342</v>
      </c>
      <c r="F13" s="34" t="s">
        <v>364</v>
      </c>
      <c r="G13" s="34">
        <v>3</v>
      </c>
      <c r="H13" s="34">
        <v>22</v>
      </c>
    </row>
    <row r="14" spans="2:8" x14ac:dyDescent="0.25">
      <c r="B14" s="22">
        <v>45376</v>
      </c>
      <c r="C14" s="8" t="s">
        <v>116</v>
      </c>
      <c r="D14" s="34" t="s">
        <v>149</v>
      </c>
      <c r="E14" s="34" t="s">
        <v>343</v>
      </c>
      <c r="F14" s="34" t="s">
        <v>365</v>
      </c>
      <c r="G14" s="34">
        <v>3</v>
      </c>
      <c r="H14" s="34">
        <v>25</v>
      </c>
    </row>
    <row r="15" spans="2:8" x14ac:dyDescent="0.25">
      <c r="B15" s="22">
        <v>45391</v>
      </c>
      <c r="C15" s="8" t="s">
        <v>119</v>
      </c>
      <c r="D15" s="34" t="s">
        <v>150</v>
      </c>
      <c r="E15" s="34" t="s">
        <v>344</v>
      </c>
      <c r="F15" s="34" t="s">
        <v>366</v>
      </c>
      <c r="G15" s="34">
        <v>4</v>
      </c>
      <c r="H15" s="34">
        <v>9</v>
      </c>
    </row>
    <row r="16" spans="2:8" x14ac:dyDescent="0.25">
      <c r="B16" s="22">
        <v>45393</v>
      </c>
      <c r="C16" s="8" t="s">
        <v>129</v>
      </c>
      <c r="D16" s="34" t="s">
        <v>323</v>
      </c>
      <c r="E16" s="34" t="s">
        <v>345</v>
      </c>
      <c r="F16" s="34" t="s">
        <v>367</v>
      </c>
      <c r="G16" s="34">
        <v>4</v>
      </c>
      <c r="H16" s="34">
        <v>11</v>
      </c>
    </row>
    <row r="17" spans="2:8" x14ac:dyDescent="0.25">
      <c r="B17" s="22">
        <v>45403</v>
      </c>
      <c r="C17" s="8" t="s">
        <v>120</v>
      </c>
      <c r="D17" s="34" t="s">
        <v>324</v>
      </c>
      <c r="E17" s="34" t="s">
        <v>346</v>
      </c>
      <c r="F17" s="34" t="s">
        <v>368</v>
      </c>
      <c r="G17" s="34">
        <v>4</v>
      </c>
      <c r="H17" s="34">
        <v>21</v>
      </c>
    </row>
    <row r="18" spans="2:8" x14ac:dyDescent="0.25">
      <c r="B18" s="22">
        <v>45403</v>
      </c>
      <c r="C18" s="8" t="s">
        <v>121</v>
      </c>
      <c r="D18" s="34" t="s">
        <v>325</v>
      </c>
      <c r="E18" s="34" t="s">
        <v>347</v>
      </c>
      <c r="F18" s="34" t="s">
        <v>369</v>
      </c>
      <c r="G18" s="34">
        <v>4</v>
      </c>
      <c r="H18" s="34">
        <v>21</v>
      </c>
    </row>
    <row r="19" spans="2:8" x14ac:dyDescent="0.25">
      <c r="B19" s="22">
        <v>45403</v>
      </c>
      <c r="C19" s="8" t="s">
        <v>132</v>
      </c>
      <c r="D19" s="34" t="s">
        <v>326</v>
      </c>
      <c r="E19" s="34" t="s">
        <v>348</v>
      </c>
      <c r="F19" s="34" t="s">
        <v>370</v>
      </c>
      <c r="G19" s="34">
        <v>4</v>
      </c>
      <c r="H19" s="34">
        <v>21</v>
      </c>
    </row>
    <row r="20" spans="2:8" x14ac:dyDescent="0.25">
      <c r="B20" s="22">
        <v>45428</v>
      </c>
      <c r="C20" s="8" t="s">
        <v>138</v>
      </c>
      <c r="D20" s="34" t="s">
        <v>327</v>
      </c>
      <c r="E20" s="34" t="s">
        <v>349</v>
      </c>
      <c r="F20" s="34" t="s">
        <v>371</v>
      </c>
      <c r="G20" s="34">
        <v>5</v>
      </c>
      <c r="H20" s="34">
        <v>16</v>
      </c>
    </row>
    <row r="21" spans="2:8" x14ac:dyDescent="0.25">
      <c r="B21" s="22">
        <v>45430</v>
      </c>
      <c r="C21" s="8" t="s">
        <v>136</v>
      </c>
      <c r="D21" s="34" t="s">
        <v>328</v>
      </c>
      <c r="E21" s="34" t="s">
        <v>350</v>
      </c>
      <c r="F21" s="34" t="s">
        <v>372</v>
      </c>
      <c r="G21" s="34">
        <v>5</v>
      </c>
      <c r="H21" s="34">
        <v>18</v>
      </c>
    </row>
    <row r="22" spans="2:8" x14ac:dyDescent="0.25">
      <c r="B22" s="22">
        <v>45431</v>
      </c>
      <c r="C22" s="8" t="s">
        <v>124</v>
      </c>
      <c r="D22" s="34" t="s">
        <v>329</v>
      </c>
      <c r="E22" s="34" t="s">
        <v>351</v>
      </c>
      <c r="F22" s="34" t="s">
        <v>373</v>
      </c>
      <c r="G22" s="34">
        <v>5</v>
      </c>
      <c r="H22" s="34">
        <v>19</v>
      </c>
    </row>
    <row r="23" spans="2:8" x14ac:dyDescent="0.25">
      <c r="B23" s="22">
        <v>45442</v>
      </c>
      <c r="C23" s="8" t="s">
        <v>133</v>
      </c>
      <c r="D23" s="34" t="s">
        <v>330</v>
      </c>
      <c r="E23" s="34" t="s">
        <v>352</v>
      </c>
      <c r="F23" s="34" t="s">
        <v>374</v>
      </c>
      <c r="G23" s="34">
        <v>5</v>
      </c>
      <c r="H23" s="34">
        <v>30</v>
      </c>
    </row>
    <row r="24" spans="2:8" x14ac:dyDescent="0.25">
      <c r="B24" s="22">
        <v>45442</v>
      </c>
      <c r="C24" s="8" t="s">
        <v>135</v>
      </c>
      <c r="D24" s="34" t="s">
        <v>331</v>
      </c>
      <c r="E24" s="34" t="s">
        <v>353</v>
      </c>
      <c r="F24" s="34" t="s">
        <v>375</v>
      </c>
      <c r="G24" s="34">
        <v>5</v>
      </c>
      <c r="H24" s="34">
        <v>30</v>
      </c>
    </row>
    <row r="25" spans="2:8" x14ac:dyDescent="0.25">
      <c r="B25" s="22">
        <v>45452</v>
      </c>
      <c r="C25" s="8" t="s">
        <v>122</v>
      </c>
      <c r="D25" s="34" t="s">
        <v>332</v>
      </c>
      <c r="E25" s="34" t="s">
        <v>354</v>
      </c>
      <c r="F25" s="34" t="s">
        <v>376</v>
      </c>
      <c r="G25" s="34">
        <v>6</v>
      </c>
      <c r="H25" s="34">
        <v>9</v>
      </c>
    </row>
    <row r="26" spans="2:8" x14ac:dyDescent="0.25">
      <c r="B26" s="22">
        <v>45463</v>
      </c>
      <c r="C26" s="8" t="s">
        <v>134</v>
      </c>
      <c r="D26" s="34" t="s">
        <v>333</v>
      </c>
      <c r="E26" s="34" t="s">
        <v>355</v>
      </c>
      <c r="F26" s="34" t="s">
        <v>377</v>
      </c>
      <c r="G26" s="34">
        <v>6</v>
      </c>
      <c r="H26" s="34">
        <v>20</v>
      </c>
    </row>
    <row r="27" spans="2:8" x14ac:dyDescent="0.25">
      <c r="B27" s="22">
        <v>45464</v>
      </c>
      <c r="C27" s="8" t="s">
        <v>123</v>
      </c>
      <c r="D27" s="34" t="s">
        <v>334</v>
      </c>
      <c r="E27" s="34" t="s">
        <v>356</v>
      </c>
      <c r="F27" s="34" t="s">
        <v>378</v>
      </c>
      <c r="G27" s="34">
        <v>6</v>
      </c>
      <c r="H27" s="34">
        <v>21</v>
      </c>
    </row>
    <row r="28" spans="2:8" x14ac:dyDescent="0.25">
      <c r="B28" s="22">
        <v>45485</v>
      </c>
      <c r="C28" s="8" t="s">
        <v>126</v>
      </c>
      <c r="D28" s="34" t="s">
        <v>335</v>
      </c>
      <c r="E28" s="34" t="s">
        <v>357</v>
      </c>
      <c r="F28" s="34" t="s">
        <v>379</v>
      </c>
      <c r="G28" s="34">
        <v>7</v>
      </c>
      <c r="H28" s="34">
        <v>12</v>
      </c>
    </row>
    <row r="29" spans="2:8" x14ac:dyDescent="0.25">
      <c r="B29" s="22">
        <v>45511</v>
      </c>
      <c r="C29" s="8" t="s">
        <v>130</v>
      </c>
      <c r="D29" s="34" t="s">
        <v>336</v>
      </c>
      <c r="E29" s="34" t="s">
        <v>358</v>
      </c>
      <c r="F29" s="34" t="s">
        <v>380</v>
      </c>
      <c r="G29" s="34">
        <v>8</v>
      </c>
      <c r="H29" s="34">
        <v>7</v>
      </c>
    </row>
    <row r="30" spans="2:8" x14ac:dyDescent="0.25">
      <c r="B30" s="22">
        <v>45521</v>
      </c>
      <c r="C30" s="8" t="s">
        <v>118</v>
      </c>
      <c r="D30" s="34" t="s">
        <v>337</v>
      </c>
      <c r="E30" s="34" t="s">
        <v>359</v>
      </c>
      <c r="F30" s="34" t="s">
        <v>381</v>
      </c>
      <c r="G30" s="34">
        <v>8</v>
      </c>
      <c r="H30" s="34">
        <v>17</v>
      </c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D100-C5D1-4266-A897-E1EB6344B8FD}">
  <dimension ref="B7:F532"/>
  <sheetViews>
    <sheetView showGridLines="0" workbookViewId="0">
      <selection activeCell="G12" sqref="G12"/>
    </sheetView>
  </sheetViews>
  <sheetFormatPr defaultColWidth="9" defaultRowHeight="15" x14ac:dyDescent="0.25"/>
  <cols>
    <col min="1" max="1" width="9" style="2"/>
    <col min="2" max="2" width="8.140625" style="25" bestFit="1" customWidth="1"/>
    <col min="3" max="3" width="22.5703125" style="25" customWidth="1"/>
    <col min="4" max="4" width="27.7109375" style="25" customWidth="1"/>
    <col min="5" max="5" width="9.5703125" style="25" customWidth="1"/>
    <col min="6" max="6" width="27.140625" style="2" customWidth="1"/>
    <col min="7" max="7" width="25.140625" style="2" customWidth="1"/>
    <col min="8" max="16384" width="9" style="2"/>
  </cols>
  <sheetData>
    <row r="7" spans="2:6" x14ac:dyDescent="0.25">
      <c r="B7" s="4" t="s">
        <v>142</v>
      </c>
      <c r="C7" s="4" t="s">
        <v>155</v>
      </c>
      <c r="D7" s="4" t="s">
        <v>156</v>
      </c>
      <c r="E7" s="4" t="s">
        <v>157</v>
      </c>
      <c r="F7" s="4" t="s">
        <v>203</v>
      </c>
    </row>
    <row r="8" spans="2:6" x14ac:dyDescent="0.25">
      <c r="B8" s="7" t="s">
        <v>146</v>
      </c>
      <c r="C8" s="7" t="s">
        <v>158</v>
      </c>
      <c r="D8" s="7" t="s">
        <v>159</v>
      </c>
      <c r="E8" s="24">
        <v>10955</v>
      </c>
      <c r="F8" s="41" t="s">
        <v>172</v>
      </c>
    </row>
    <row r="9" spans="2:6" x14ac:dyDescent="0.25">
      <c r="B9" s="7" t="s">
        <v>146</v>
      </c>
      <c r="C9" s="7" t="s">
        <v>160</v>
      </c>
      <c r="D9" s="7" t="s">
        <v>159</v>
      </c>
      <c r="E9" s="24">
        <v>1292</v>
      </c>
      <c r="F9" s="41" t="s">
        <v>190</v>
      </c>
    </row>
    <row r="10" spans="2:6" x14ac:dyDescent="0.25">
      <c r="B10" s="7" t="s">
        <v>146</v>
      </c>
      <c r="C10" s="7" t="s">
        <v>192</v>
      </c>
      <c r="D10" s="7" t="s">
        <v>173</v>
      </c>
      <c r="E10" s="24">
        <v>69156</v>
      </c>
      <c r="F10" s="41" t="s">
        <v>194</v>
      </c>
    </row>
    <row r="11" spans="2:6" x14ac:dyDescent="0.25">
      <c r="B11" s="7" t="s">
        <v>146</v>
      </c>
      <c r="C11" s="7" t="s">
        <v>166</v>
      </c>
      <c r="D11" s="7" t="s">
        <v>167</v>
      </c>
      <c r="E11" s="24">
        <v>7992</v>
      </c>
      <c r="F11" s="41" t="s">
        <v>191</v>
      </c>
    </row>
    <row r="12" spans="2:6" x14ac:dyDescent="0.25">
      <c r="B12" s="7" t="s">
        <v>146</v>
      </c>
      <c r="C12" s="7" t="s">
        <v>168</v>
      </c>
      <c r="D12" s="7" t="s">
        <v>164</v>
      </c>
      <c r="E12" s="24">
        <v>113752</v>
      </c>
      <c r="F12" s="41" t="s">
        <v>166</v>
      </c>
    </row>
    <row r="13" spans="2:6" x14ac:dyDescent="0.25">
      <c r="B13" s="7" t="s">
        <v>146</v>
      </c>
      <c r="C13" s="7" t="s">
        <v>169</v>
      </c>
      <c r="D13" s="7" t="s">
        <v>159</v>
      </c>
      <c r="E13" s="24">
        <v>3856.9999999999995</v>
      </c>
      <c r="F13" s="41" t="s">
        <v>161</v>
      </c>
    </row>
    <row r="14" spans="2:6" x14ac:dyDescent="0.25">
      <c r="B14" s="7" t="s">
        <v>146</v>
      </c>
      <c r="C14" s="7" t="s">
        <v>170</v>
      </c>
      <c r="D14" s="7" t="s">
        <v>159</v>
      </c>
      <c r="E14" s="24">
        <v>1842</v>
      </c>
      <c r="F14" s="41" t="s">
        <v>188</v>
      </c>
    </row>
    <row r="15" spans="2:6" x14ac:dyDescent="0.25">
      <c r="B15" s="7" t="s">
        <v>146</v>
      </c>
      <c r="C15" s="7" t="s">
        <v>193</v>
      </c>
      <c r="D15" s="7" t="s">
        <v>173</v>
      </c>
      <c r="E15" s="24">
        <v>2560</v>
      </c>
      <c r="F15" s="41" t="s">
        <v>186</v>
      </c>
    </row>
    <row r="16" spans="2:6" x14ac:dyDescent="0.25">
      <c r="B16" s="7" t="s">
        <v>146</v>
      </c>
      <c r="C16" s="7" t="s">
        <v>191</v>
      </c>
      <c r="D16" s="7" t="s">
        <v>162</v>
      </c>
      <c r="E16" s="24">
        <v>781</v>
      </c>
      <c r="F16" s="41" t="s">
        <v>170</v>
      </c>
    </row>
    <row r="17" spans="2:6" x14ac:dyDescent="0.25">
      <c r="B17" s="7" t="s">
        <v>146</v>
      </c>
      <c r="C17" s="7" t="s">
        <v>171</v>
      </c>
      <c r="D17" s="7" t="s">
        <v>164</v>
      </c>
      <c r="E17" s="24">
        <v>2106</v>
      </c>
      <c r="F17" s="41" t="s">
        <v>163</v>
      </c>
    </row>
    <row r="18" spans="2:6" x14ac:dyDescent="0.25">
      <c r="B18" s="7" t="s">
        <v>146</v>
      </c>
      <c r="C18" s="7" t="s">
        <v>184</v>
      </c>
      <c r="D18" s="7" t="s">
        <v>159</v>
      </c>
      <c r="E18" s="24">
        <v>2351.9999999999995</v>
      </c>
      <c r="F18" s="41" t="s">
        <v>193</v>
      </c>
    </row>
    <row r="19" spans="2:6" x14ac:dyDescent="0.25">
      <c r="B19" s="7" t="s">
        <v>146</v>
      </c>
      <c r="C19" s="7" t="s">
        <v>189</v>
      </c>
      <c r="D19" s="7" t="s">
        <v>164</v>
      </c>
      <c r="E19" s="24">
        <v>7161</v>
      </c>
      <c r="F19" s="41" t="s">
        <v>192</v>
      </c>
    </row>
    <row r="20" spans="2:6" x14ac:dyDescent="0.25">
      <c r="B20" s="7" t="s">
        <v>146</v>
      </c>
      <c r="C20" s="7" t="s">
        <v>172</v>
      </c>
      <c r="D20" s="7" t="s">
        <v>173</v>
      </c>
      <c r="E20" s="24">
        <v>4248</v>
      </c>
      <c r="F20" s="41" t="s">
        <v>175</v>
      </c>
    </row>
    <row r="21" spans="2:6" x14ac:dyDescent="0.25">
      <c r="B21" s="7" t="s">
        <v>146</v>
      </c>
      <c r="C21" s="7" t="s">
        <v>174</v>
      </c>
      <c r="D21" s="7" t="s">
        <v>159</v>
      </c>
      <c r="E21" s="24">
        <v>6390</v>
      </c>
      <c r="F21" s="41" t="s">
        <v>179</v>
      </c>
    </row>
    <row r="22" spans="2:6" x14ac:dyDescent="0.25">
      <c r="B22" s="7" t="s">
        <v>146</v>
      </c>
      <c r="C22" s="7" t="s">
        <v>194</v>
      </c>
      <c r="D22" s="7" t="s">
        <v>173</v>
      </c>
      <c r="E22" s="24">
        <v>37740</v>
      </c>
      <c r="F22" s="41" t="s">
        <v>183</v>
      </c>
    </row>
    <row r="23" spans="2:6" x14ac:dyDescent="0.25">
      <c r="B23" s="7" t="s">
        <v>146</v>
      </c>
      <c r="C23" s="7" t="s">
        <v>187</v>
      </c>
      <c r="D23" s="7" t="s">
        <v>167</v>
      </c>
      <c r="E23" s="24">
        <v>809.99999999999989</v>
      </c>
      <c r="F23" s="41" t="s">
        <v>189</v>
      </c>
    </row>
    <row r="24" spans="2:6" x14ac:dyDescent="0.25">
      <c r="B24" s="7" t="s">
        <v>146</v>
      </c>
      <c r="C24" s="7" t="s">
        <v>175</v>
      </c>
      <c r="D24" s="7" t="s">
        <v>167</v>
      </c>
      <c r="E24" s="24">
        <v>14700</v>
      </c>
      <c r="F24" s="41" t="s">
        <v>176</v>
      </c>
    </row>
    <row r="25" spans="2:6" x14ac:dyDescent="0.25">
      <c r="B25" s="7" t="s">
        <v>146</v>
      </c>
      <c r="C25" s="7" t="s">
        <v>176</v>
      </c>
      <c r="D25" s="7" t="s">
        <v>164</v>
      </c>
      <c r="E25" s="24">
        <v>11832</v>
      </c>
      <c r="F25" s="41" t="s">
        <v>181</v>
      </c>
    </row>
    <row r="26" spans="2:6" x14ac:dyDescent="0.25">
      <c r="B26" s="7" t="s">
        <v>146</v>
      </c>
      <c r="C26" s="7" t="s">
        <v>195</v>
      </c>
      <c r="D26" s="7" t="s">
        <v>162</v>
      </c>
      <c r="E26" s="24">
        <v>2057</v>
      </c>
      <c r="F26" s="41" t="s">
        <v>196</v>
      </c>
    </row>
    <row r="27" spans="2:6" x14ac:dyDescent="0.25">
      <c r="B27" s="7" t="s">
        <v>146</v>
      </c>
      <c r="C27" s="7" t="s">
        <v>183</v>
      </c>
      <c r="D27" s="7" t="s">
        <v>167</v>
      </c>
      <c r="E27" s="24">
        <v>10112</v>
      </c>
      <c r="F27" s="41" t="s">
        <v>178</v>
      </c>
    </row>
    <row r="28" spans="2:6" x14ac:dyDescent="0.25">
      <c r="B28" s="7" t="s">
        <v>146</v>
      </c>
      <c r="C28" s="7" t="s">
        <v>177</v>
      </c>
      <c r="D28" s="7" t="s">
        <v>173</v>
      </c>
      <c r="E28" s="24">
        <v>29639</v>
      </c>
      <c r="F28" s="41" t="s">
        <v>177</v>
      </c>
    </row>
    <row r="29" spans="2:6" x14ac:dyDescent="0.25">
      <c r="B29" s="7" t="s">
        <v>146</v>
      </c>
      <c r="C29" s="7" t="s">
        <v>178</v>
      </c>
      <c r="D29" s="7" t="s">
        <v>173</v>
      </c>
      <c r="E29" s="24">
        <v>2725</v>
      </c>
      <c r="F29" s="41" t="s">
        <v>158</v>
      </c>
    </row>
    <row r="30" spans="2:6" x14ac:dyDescent="0.25">
      <c r="B30" s="7" t="s">
        <v>146</v>
      </c>
      <c r="C30" s="7" t="s">
        <v>179</v>
      </c>
      <c r="D30" s="7" t="s">
        <v>164</v>
      </c>
      <c r="E30" s="24">
        <v>9078</v>
      </c>
      <c r="F30" s="41" t="s">
        <v>195</v>
      </c>
    </row>
    <row r="31" spans="2:6" x14ac:dyDescent="0.25">
      <c r="B31" s="7" t="s">
        <v>146</v>
      </c>
      <c r="C31" s="7" t="s">
        <v>180</v>
      </c>
      <c r="D31" s="7" t="s">
        <v>167</v>
      </c>
      <c r="E31" s="24">
        <v>1980.0000000000002</v>
      </c>
      <c r="F31" s="41" t="s">
        <v>184</v>
      </c>
    </row>
    <row r="32" spans="2:6" x14ac:dyDescent="0.25">
      <c r="B32" s="7" t="s">
        <v>146</v>
      </c>
      <c r="C32" s="7" t="s">
        <v>186</v>
      </c>
      <c r="D32" s="7" t="s">
        <v>167</v>
      </c>
      <c r="E32" s="24">
        <v>874</v>
      </c>
      <c r="F32" s="41" t="s">
        <v>168</v>
      </c>
    </row>
    <row r="33" spans="2:6" x14ac:dyDescent="0.25">
      <c r="B33" s="7" t="s">
        <v>146</v>
      </c>
      <c r="C33" s="7" t="s">
        <v>181</v>
      </c>
      <c r="D33" s="7" t="s">
        <v>159</v>
      </c>
      <c r="E33" s="24">
        <v>5950</v>
      </c>
      <c r="F33" s="41" t="s">
        <v>182</v>
      </c>
    </row>
    <row r="34" spans="2:6" x14ac:dyDescent="0.25">
      <c r="B34" s="7" t="s">
        <v>146</v>
      </c>
      <c r="C34" s="7" t="s">
        <v>182</v>
      </c>
      <c r="D34" s="7" t="s">
        <v>162</v>
      </c>
      <c r="E34" s="24">
        <v>8740</v>
      </c>
      <c r="F34" s="41" t="s">
        <v>180</v>
      </c>
    </row>
    <row r="35" spans="2:6" x14ac:dyDescent="0.25">
      <c r="B35" s="7" t="s">
        <v>146</v>
      </c>
      <c r="C35" s="7" t="s">
        <v>185</v>
      </c>
      <c r="D35" s="7" t="s">
        <v>164</v>
      </c>
      <c r="E35" s="24">
        <v>2988</v>
      </c>
      <c r="F35" s="41" t="s">
        <v>160</v>
      </c>
    </row>
    <row r="36" spans="2:6" x14ac:dyDescent="0.25">
      <c r="B36" s="7" t="s">
        <v>146</v>
      </c>
      <c r="C36" s="7" t="s">
        <v>158</v>
      </c>
      <c r="D36" s="7" t="s">
        <v>159</v>
      </c>
      <c r="E36" s="24">
        <v>15024</v>
      </c>
      <c r="F36" s="41" t="s">
        <v>169</v>
      </c>
    </row>
    <row r="37" spans="2:6" x14ac:dyDescent="0.25">
      <c r="B37" s="7" t="s">
        <v>146</v>
      </c>
      <c r="C37" s="7" t="s">
        <v>160</v>
      </c>
      <c r="D37" s="7" t="s">
        <v>159</v>
      </c>
      <c r="E37" s="24">
        <v>340</v>
      </c>
      <c r="F37" s="41" t="s">
        <v>174</v>
      </c>
    </row>
    <row r="38" spans="2:6" x14ac:dyDescent="0.25">
      <c r="B38" s="7" t="s">
        <v>146</v>
      </c>
      <c r="C38" s="7" t="s">
        <v>192</v>
      </c>
      <c r="D38" s="7" t="s">
        <v>173</v>
      </c>
      <c r="E38" s="24">
        <v>91530</v>
      </c>
      <c r="F38" s="41" t="s">
        <v>185</v>
      </c>
    </row>
    <row r="39" spans="2:6" x14ac:dyDescent="0.25">
      <c r="B39" s="7" t="s">
        <v>146</v>
      </c>
      <c r="C39" s="7" t="s">
        <v>165</v>
      </c>
      <c r="D39" s="7" t="s">
        <v>162</v>
      </c>
      <c r="E39" s="24">
        <v>12524</v>
      </c>
      <c r="F39" s="41" t="s">
        <v>165</v>
      </c>
    </row>
    <row r="40" spans="2:6" x14ac:dyDescent="0.25">
      <c r="B40" s="7" t="s">
        <v>146</v>
      </c>
      <c r="C40" s="7" t="s">
        <v>166</v>
      </c>
      <c r="D40" s="7" t="s">
        <v>167</v>
      </c>
      <c r="E40" s="24">
        <v>11692</v>
      </c>
      <c r="F40" s="41" t="s">
        <v>187</v>
      </c>
    </row>
    <row r="41" spans="2:6" x14ac:dyDescent="0.25">
      <c r="B41" s="7" t="s">
        <v>146</v>
      </c>
      <c r="C41" s="7" t="s">
        <v>168</v>
      </c>
      <c r="D41" s="7" t="s">
        <v>164</v>
      </c>
      <c r="E41" s="24">
        <v>93508</v>
      </c>
      <c r="F41" s="41" t="s">
        <v>171</v>
      </c>
    </row>
    <row r="42" spans="2:6" x14ac:dyDescent="0.25">
      <c r="B42" s="7" t="s">
        <v>146</v>
      </c>
      <c r="C42" s="7" t="s">
        <v>169</v>
      </c>
      <c r="D42" s="7" t="s">
        <v>159</v>
      </c>
      <c r="E42" s="24">
        <v>3856.9999999999995</v>
      </c>
      <c r="F42"/>
    </row>
    <row r="43" spans="2:6" x14ac:dyDescent="0.25">
      <c r="B43" s="7" t="s">
        <v>146</v>
      </c>
      <c r="C43" s="7" t="s">
        <v>170</v>
      </c>
      <c r="D43" s="7" t="s">
        <v>159</v>
      </c>
      <c r="E43" s="24">
        <v>13508</v>
      </c>
      <c r="F43"/>
    </row>
    <row r="44" spans="2:6" x14ac:dyDescent="0.25">
      <c r="B44" s="7" t="s">
        <v>146</v>
      </c>
      <c r="C44" s="7" t="s">
        <v>193</v>
      </c>
      <c r="D44" s="7" t="s">
        <v>173</v>
      </c>
      <c r="E44" s="24">
        <v>2688</v>
      </c>
      <c r="F44"/>
    </row>
    <row r="45" spans="2:6" x14ac:dyDescent="0.25">
      <c r="B45" s="7" t="s">
        <v>146</v>
      </c>
      <c r="C45" s="7" t="s">
        <v>189</v>
      </c>
      <c r="D45" s="7" t="s">
        <v>164</v>
      </c>
      <c r="E45" s="24">
        <v>6699</v>
      </c>
      <c r="F45"/>
    </row>
    <row r="46" spans="2:6" x14ac:dyDescent="0.25">
      <c r="B46" s="7" t="s">
        <v>146</v>
      </c>
      <c r="C46" s="7" t="s">
        <v>174</v>
      </c>
      <c r="D46" s="7" t="s">
        <v>159</v>
      </c>
      <c r="E46" s="24">
        <v>18318</v>
      </c>
      <c r="F46"/>
    </row>
    <row r="47" spans="2:6" x14ac:dyDescent="0.25">
      <c r="B47" s="7" t="s">
        <v>146</v>
      </c>
      <c r="C47" s="7" t="s">
        <v>194</v>
      </c>
      <c r="D47" s="7" t="s">
        <v>173</v>
      </c>
      <c r="E47" s="24">
        <v>58956</v>
      </c>
      <c r="F47"/>
    </row>
    <row r="48" spans="2:6" x14ac:dyDescent="0.25">
      <c r="B48" s="7" t="s">
        <v>146</v>
      </c>
      <c r="C48" s="7" t="s">
        <v>183</v>
      </c>
      <c r="D48" s="7" t="s">
        <v>167</v>
      </c>
      <c r="E48" s="24">
        <v>8216</v>
      </c>
      <c r="F48"/>
    </row>
    <row r="49" spans="2:6" x14ac:dyDescent="0.25">
      <c r="B49" s="7" t="s">
        <v>146</v>
      </c>
      <c r="C49" s="7" t="s">
        <v>177</v>
      </c>
      <c r="D49" s="7" t="s">
        <v>173</v>
      </c>
      <c r="E49" s="24">
        <v>23540</v>
      </c>
      <c r="F49"/>
    </row>
    <row r="50" spans="2:6" x14ac:dyDescent="0.25">
      <c r="B50" s="7" t="s">
        <v>146</v>
      </c>
      <c r="C50" s="7" t="s">
        <v>188</v>
      </c>
      <c r="D50" s="7" t="s">
        <v>173</v>
      </c>
      <c r="E50" s="24">
        <v>5456</v>
      </c>
      <c r="F50"/>
    </row>
    <row r="51" spans="2:6" x14ac:dyDescent="0.25">
      <c r="B51" s="7" t="s">
        <v>146</v>
      </c>
      <c r="C51" s="7" t="s">
        <v>178</v>
      </c>
      <c r="D51" s="7" t="s">
        <v>173</v>
      </c>
      <c r="E51" s="24">
        <v>1090</v>
      </c>
      <c r="F51"/>
    </row>
    <row r="52" spans="2:6" x14ac:dyDescent="0.25">
      <c r="B52" s="7" t="s">
        <v>146</v>
      </c>
      <c r="C52" s="7" t="s">
        <v>179</v>
      </c>
      <c r="D52" s="7" t="s">
        <v>164</v>
      </c>
      <c r="E52" s="24">
        <v>7446</v>
      </c>
      <c r="F52"/>
    </row>
    <row r="53" spans="2:6" x14ac:dyDescent="0.25">
      <c r="B53" s="7" t="s">
        <v>146</v>
      </c>
      <c r="C53" s="7" t="s">
        <v>180</v>
      </c>
      <c r="D53" s="7" t="s">
        <v>167</v>
      </c>
      <c r="E53" s="24">
        <v>4140</v>
      </c>
      <c r="F53"/>
    </row>
    <row r="54" spans="2:6" x14ac:dyDescent="0.25">
      <c r="B54" s="7" t="s">
        <v>146</v>
      </c>
      <c r="C54" s="7" t="s">
        <v>181</v>
      </c>
      <c r="D54" s="7" t="s">
        <v>159</v>
      </c>
      <c r="E54" s="24">
        <v>1666</v>
      </c>
      <c r="F54"/>
    </row>
    <row r="55" spans="2:6" x14ac:dyDescent="0.25">
      <c r="B55" s="7" t="s">
        <v>146</v>
      </c>
      <c r="C55" s="7" t="s">
        <v>182</v>
      </c>
      <c r="D55" s="7" t="s">
        <v>162</v>
      </c>
      <c r="E55" s="24">
        <v>5750</v>
      </c>
      <c r="F55"/>
    </row>
    <row r="56" spans="2:6" x14ac:dyDescent="0.25">
      <c r="B56" s="7" t="s">
        <v>146</v>
      </c>
      <c r="C56" s="7" t="s">
        <v>158</v>
      </c>
      <c r="D56" s="7" t="s">
        <v>159</v>
      </c>
      <c r="E56" s="24">
        <v>37560</v>
      </c>
      <c r="F56"/>
    </row>
    <row r="57" spans="2:6" x14ac:dyDescent="0.25">
      <c r="B57" s="7" t="s">
        <v>146</v>
      </c>
      <c r="C57" s="7" t="s">
        <v>160</v>
      </c>
      <c r="D57" s="7" t="s">
        <v>159</v>
      </c>
      <c r="E57" s="24">
        <v>5168</v>
      </c>
      <c r="F57"/>
    </row>
    <row r="58" spans="2:6" x14ac:dyDescent="0.25">
      <c r="B58" s="7" t="s">
        <v>146</v>
      </c>
      <c r="C58" s="7" t="s">
        <v>192</v>
      </c>
      <c r="D58" s="7" t="s">
        <v>173</v>
      </c>
      <c r="E58" s="24">
        <v>28137</v>
      </c>
      <c r="F58"/>
    </row>
    <row r="59" spans="2:6" x14ac:dyDescent="0.25">
      <c r="B59" s="7" t="s">
        <v>146</v>
      </c>
      <c r="C59" s="7" t="s">
        <v>165</v>
      </c>
      <c r="D59" s="7" t="s">
        <v>162</v>
      </c>
      <c r="E59" s="24">
        <v>13130</v>
      </c>
      <c r="F59"/>
    </row>
    <row r="60" spans="2:6" x14ac:dyDescent="0.25">
      <c r="B60" s="7" t="s">
        <v>146</v>
      </c>
      <c r="C60" s="7" t="s">
        <v>166</v>
      </c>
      <c r="D60" s="7" t="s">
        <v>167</v>
      </c>
      <c r="E60" s="24">
        <v>6512</v>
      </c>
      <c r="F60"/>
    </row>
    <row r="61" spans="2:6" x14ac:dyDescent="0.25">
      <c r="B61" s="7" t="s">
        <v>146</v>
      </c>
      <c r="C61" s="7" t="s">
        <v>169</v>
      </c>
      <c r="D61" s="7" t="s">
        <v>159</v>
      </c>
      <c r="E61" s="24">
        <v>4788</v>
      </c>
      <c r="F61"/>
    </row>
    <row r="62" spans="2:6" x14ac:dyDescent="0.25">
      <c r="B62" s="7" t="s">
        <v>146</v>
      </c>
      <c r="C62" s="7" t="s">
        <v>170</v>
      </c>
      <c r="D62" s="7" t="s">
        <v>159</v>
      </c>
      <c r="E62" s="24">
        <v>25174</v>
      </c>
      <c r="F62"/>
    </row>
    <row r="63" spans="2:6" x14ac:dyDescent="0.25">
      <c r="B63" s="7" t="s">
        <v>146</v>
      </c>
      <c r="C63" s="7" t="s">
        <v>193</v>
      </c>
      <c r="D63" s="7" t="s">
        <v>173</v>
      </c>
      <c r="E63" s="24">
        <v>4160</v>
      </c>
      <c r="F63"/>
    </row>
    <row r="64" spans="2:6" x14ac:dyDescent="0.25">
      <c r="B64" s="7" t="s">
        <v>146</v>
      </c>
      <c r="C64" s="7" t="s">
        <v>191</v>
      </c>
      <c r="D64" s="7" t="s">
        <v>162</v>
      </c>
      <c r="E64" s="24">
        <v>2982</v>
      </c>
      <c r="F64"/>
    </row>
    <row r="65" spans="2:6" x14ac:dyDescent="0.25">
      <c r="B65" s="7" t="s">
        <v>146</v>
      </c>
      <c r="C65" s="7" t="s">
        <v>171</v>
      </c>
      <c r="D65" s="7" t="s">
        <v>164</v>
      </c>
      <c r="E65" s="24">
        <v>14742</v>
      </c>
      <c r="F65"/>
    </row>
    <row r="66" spans="2:6" x14ac:dyDescent="0.25">
      <c r="B66" s="7" t="s">
        <v>146</v>
      </c>
      <c r="C66" s="7" t="s">
        <v>184</v>
      </c>
      <c r="D66" s="7" t="s">
        <v>159</v>
      </c>
      <c r="E66" s="24">
        <v>2575.9999999999995</v>
      </c>
      <c r="F66"/>
    </row>
    <row r="67" spans="2:6" x14ac:dyDescent="0.25">
      <c r="B67" s="7" t="s">
        <v>146</v>
      </c>
      <c r="C67" s="7" t="s">
        <v>189</v>
      </c>
      <c r="D67" s="7" t="s">
        <v>164</v>
      </c>
      <c r="E67" s="24">
        <v>6930</v>
      </c>
      <c r="F67"/>
    </row>
    <row r="68" spans="2:6" x14ac:dyDescent="0.25">
      <c r="B68" s="7" t="s">
        <v>146</v>
      </c>
      <c r="C68" s="7" t="s">
        <v>172</v>
      </c>
      <c r="D68" s="7" t="s">
        <v>173</v>
      </c>
      <c r="E68" s="24">
        <v>16048</v>
      </c>
      <c r="F68"/>
    </row>
    <row r="69" spans="2:6" x14ac:dyDescent="0.25">
      <c r="B69" s="7" t="s">
        <v>146</v>
      </c>
      <c r="C69" s="7" t="s">
        <v>174</v>
      </c>
      <c r="D69" s="7" t="s">
        <v>159</v>
      </c>
      <c r="E69" s="24">
        <v>12567</v>
      </c>
      <c r="F69"/>
    </row>
    <row r="70" spans="2:6" x14ac:dyDescent="0.25">
      <c r="B70" s="7" t="s">
        <v>146</v>
      </c>
      <c r="C70" s="7" t="s">
        <v>194</v>
      </c>
      <c r="D70" s="7" t="s">
        <v>173</v>
      </c>
      <c r="E70" s="24">
        <v>9384</v>
      </c>
      <c r="F70"/>
    </row>
    <row r="71" spans="2:6" x14ac:dyDescent="0.25">
      <c r="B71" s="7" t="s">
        <v>146</v>
      </c>
      <c r="C71" s="7" t="s">
        <v>175</v>
      </c>
      <c r="D71" s="7" t="s">
        <v>167</v>
      </c>
      <c r="E71" s="24">
        <v>2520</v>
      </c>
      <c r="F71"/>
    </row>
    <row r="72" spans="2:6" x14ac:dyDescent="0.25">
      <c r="B72" s="7" t="s">
        <v>146</v>
      </c>
      <c r="C72" s="7" t="s">
        <v>195</v>
      </c>
      <c r="D72" s="7" t="s">
        <v>162</v>
      </c>
      <c r="E72" s="24">
        <v>1331</v>
      </c>
      <c r="F72"/>
    </row>
    <row r="73" spans="2:6" x14ac:dyDescent="0.25">
      <c r="B73" s="7" t="s">
        <v>146</v>
      </c>
      <c r="C73" s="7" t="s">
        <v>183</v>
      </c>
      <c r="D73" s="7" t="s">
        <v>167</v>
      </c>
      <c r="E73" s="24">
        <v>42976</v>
      </c>
      <c r="F73"/>
    </row>
    <row r="74" spans="2:6" x14ac:dyDescent="0.25">
      <c r="B74" s="7" t="s">
        <v>146</v>
      </c>
      <c r="C74" s="7" t="s">
        <v>177</v>
      </c>
      <c r="D74" s="7" t="s">
        <v>173</v>
      </c>
      <c r="E74" s="24">
        <v>20651</v>
      </c>
      <c r="F74"/>
    </row>
    <row r="75" spans="2:6" x14ac:dyDescent="0.25">
      <c r="B75" s="7" t="s">
        <v>146</v>
      </c>
      <c r="C75" s="7" t="s">
        <v>188</v>
      </c>
      <c r="D75" s="7" t="s">
        <v>173</v>
      </c>
      <c r="E75" s="24">
        <v>496</v>
      </c>
      <c r="F75"/>
    </row>
    <row r="76" spans="2:6" x14ac:dyDescent="0.25">
      <c r="B76" s="7" t="s">
        <v>146</v>
      </c>
      <c r="C76" s="7" t="s">
        <v>178</v>
      </c>
      <c r="D76" s="7" t="s">
        <v>173</v>
      </c>
      <c r="E76" s="24">
        <v>4687</v>
      </c>
      <c r="F76"/>
    </row>
    <row r="77" spans="2:6" x14ac:dyDescent="0.25">
      <c r="B77" s="7" t="s">
        <v>146</v>
      </c>
      <c r="C77" s="7" t="s">
        <v>190</v>
      </c>
      <c r="D77" s="7" t="s">
        <v>162</v>
      </c>
      <c r="E77" s="24">
        <v>672</v>
      </c>
      <c r="F77"/>
    </row>
    <row r="78" spans="2:6" x14ac:dyDescent="0.25">
      <c r="B78" s="7" t="s">
        <v>146</v>
      </c>
      <c r="C78" s="7" t="s">
        <v>179</v>
      </c>
      <c r="D78" s="7" t="s">
        <v>164</v>
      </c>
      <c r="E78" s="24">
        <v>23766</v>
      </c>
      <c r="F78"/>
    </row>
    <row r="79" spans="2:6" x14ac:dyDescent="0.25">
      <c r="B79" s="7" t="s">
        <v>146</v>
      </c>
      <c r="C79" s="7" t="s">
        <v>180</v>
      </c>
      <c r="D79" s="7" t="s">
        <v>167</v>
      </c>
      <c r="E79" s="24">
        <v>6120</v>
      </c>
      <c r="F79"/>
    </row>
    <row r="80" spans="2:6" x14ac:dyDescent="0.25">
      <c r="B80" s="7" t="s">
        <v>146</v>
      </c>
      <c r="C80" s="7" t="s">
        <v>182</v>
      </c>
      <c r="D80" s="7" t="s">
        <v>162</v>
      </c>
      <c r="E80" s="24">
        <v>9890</v>
      </c>
      <c r="F80"/>
    </row>
    <row r="81" spans="2:6" x14ac:dyDescent="0.25">
      <c r="B81" s="7" t="s">
        <v>197</v>
      </c>
      <c r="C81" s="7" t="s">
        <v>158</v>
      </c>
      <c r="D81" s="7" t="s">
        <v>159</v>
      </c>
      <c r="E81" s="24">
        <v>31926.000000000004</v>
      </c>
      <c r="F81"/>
    </row>
    <row r="82" spans="2:6" x14ac:dyDescent="0.25">
      <c r="B82" s="7" t="s">
        <v>197</v>
      </c>
      <c r="C82" s="7" t="s">
        <v>160</v>
      </c>
      <c r="D82" s="7" t="s">
        <v>159</v>
      </c>
      <c r="E82" s="24">
        <v>1292</v>
      </c>
      <c r="F82"/>
    </row>
    <row r="83" spans="2:6" x14ac:dyDescent="0.25">
      <c r="B83" s="7" t="s">
        <v>197</v>
      </c>
      <c r="C83" s="7" t="s">
        <v>192</v>
      </c>
      <c r="D83" s="7" t="s">
        <v>173</v>
      </c>
      <c r="E83" s="24">
        <v>67461</v>
      </c>
      <c r="F83"/>
    </row>
    <row r="84" spans="2:6" x14ac:dyDescent="0.25">
      <c r="B84" s="7" t="s">
        <v>197</v>
      </c>
      <c r="C84" s="7" t="s">
        <v>161</v>
      </c>
      <c r="D84" s="7" t="s">
        <v>162</v>
      </c>
      <c r="E84" s="24">
        <v>1320</v>
      </c>
      <c r="F84"/>
    </row>
    <row r="85" spans="2:6" x14ac:dyDescent="0.25">
      <c r="B85" s="7" t="s">
        <v>197</v>
      </c>
      <c r="C85" s="7" t="s">
        <v>165</v>
      </c>
      <c r="D85" s="7" t="s">
        <v>162</v>
      </c>
      <c r="E85" s="24">
        <v>1111</v>
      </c>
      <c r="F85"/>
    </row>
    <row r="86" spans="2:6" x14ac:dyDescent="0.25">
      <c r="B86" s="7" t="s">
        <v>197</v>
      </c>
      <c r="C86" s="7" t="s">
        <v>166</v>
      </c>
      <c r="D86" s="7" t="s">
        <v>167</v>
      </c>
      <c r="E86" s="24">
        <v>7844</v>
      </c>
      <c r="F86"/>
    </row>
    <row r="87" spans="2:6" x14ac:dyDescent="0.25">
      <c r="B87" s="7" t="s">
        <v>197</v>
      </c>
      <c r="C87" s="7" t="s">
        <v>168</v>
      </c>
      <c r="D87" s="7" t="s">
        <v>164</v>
      </c>
      <c r="E87" s="24">
        <v>96400</v>
      </c>
      <c r="F87"/>
    </row>
    <row r="88" spans="2:6" x14ac:dyDescent="0.25">
      <c r="B88" s="7" t="s">
        <v>197</v>
      </c>
      <c r="C88" s="7" t="s">
        <v>170</v>
      </c>
      <c r="D88" s="7" t="s">
        <v>159</v>
      </c>
      <c r="E88" s="24">
        <v>14122</v>
      </c>
      <c r="F88"/>
    </row>
    <row r="89" spans="2:6" x14ac:dyDescent="0.25">
      <c r="B89" s="7" t="s">
        <v>197</v>
      </c>
      <c r="C89" s="7" t="s">
        <v>193</v>
      </c>
      <c r="D89" s="7" t="s">
        <v>173</v>
      </c>
      <c r="E89" s="24">
        <v>1472</v>
      </c>
      <c r="F89"/>
    </row>
    <row r="90" spans="2:6" x14ac:dyDescent="0.25">
      <c r="B90" s="7" t="s">
        <v>197</v>
      </c>
      <c r="C90" s="7" t="s">
        <v>191</v>
      </c>
      <c r="D90" s="7" t="s">
        <v>162</v>
      </c>
      <c r="E90" s="24">
        <v>3550</v>
      </c>
      <c r="F90"/>
    </row>
    <row r="91" spans="2:6" x14ac:dyDescent="0.25">
      <c r="B91" s="7" t="s">
        <v>197</v>
      </c>
      <c r="C91" s="7" t="s">
        <v>171</v>
      </c>
      <c r="D91" s="7" t="s">
        <v>164</v>
      </c>
      <c r="E91" s="24">
        <v>10179</v>
      </c>
      <c r="F91"/>
    </row>
    <row r="92" spans="2:6" x14ac:dyDescent="0.25">
      <c r="B92" s="7" t="s">
        <v>197</v>
      </c>
      <c r="C92" s="7" t="s">
        <v>184</v>
      </c>
      <c r="D92" s="7" t="s">
        <v>159</v>
      </c>
      <c r="E92" s="24">
        <v>1735.9999999999998</v>
      </c>
      <c r="F92"/>
    </row>
    <row r="93" spans="2:6" x14ac:dyDescent="0.25">
      <c r="B93" s="7" t="s">
        <v>197</v>
      </c>
      <c r="C93" s="7" t="s">
        <v>189</v>
      </c>
      <c r="D93" s="7" t="s">
        <v>164</v>
      </c>
      <c r="E93" s="24">
        <v>11319</v>
      </c>
      <c r="F93"/>
    </row>
    <row r="94" spans="2:6" x14ac:dyDescent="0.25">
      <c r="B94" s="7" t="s">
        <v>197</v>
      </c>
      <c r="C94" s="7" t="s">
        <v>172</v>
      </c>
      <c r="D94" s="7" t="s">
        <v>173</v>
      </c>
      <c r="E94" s="24">
        <v>3068</v>
      </c>
      <c r="F94"/>
    </row>
    <row r="95" spans="2:6" x14ac:dyDescent="0.25">
      <c r="B95" s="7" t="s">
        <v>197</v>
      </c>
      <c r="C95" s="7" t="s">
        <v>174</v>
      </c>
      <c r="D95" s="7" t="s">
        <v>159</v>
      </c>
      <c r="E95" s="24">
        <v>8094</v>
      </c>
      <c r="F95"/>
    </row>
    <row r="96" spans="2:6" x14ac:dyDescent="0.25">
      <c r="B96" s="7" t="s">
        <v>197</v>
      </c>
      <c r="C96" s="7" t="s">
        <v>194</v>
      </c>
      <c r="D96" s="7" t="s">
        <v>173</v>
      </c>
      <c r="E96" s="24">
        <v>59568</v>
      </c>
      <c r="F96"/>
    </row>
    <row r="97" spans="2:6" x14ac:dyDescent="0.25">
      <c r="B97" s="7" t="s">
        <v>197</v>
      </c>
      <c r="C97" s="7" t="s">
        <v>175</v>
      </c>
      <c r="D97" s="7" t="s">
        <v>167</v>
      </c>
      <c r="E97" s="24">
        <v>7980</v>
      </c>
      <c r="F97"/>
    </row>
    <row r="98" spans="2:6" x14ac:dyDescent="0.25">
      <c r="B98" s="7" t="s">
        <v>197</v>
      </c>
      <c r="C98" s="7" t="s">
        <v>195</v>
      </c>
      <c r="D98" s="7" t="s">
        <v>162</v>
      </c>
      <c r="E98" s="24">
        <v>1936.0000000000002</v>
      </c>
      <c r="F98"/>
    </row>
    <row r="99" spans="2:6" x14ac:dyDescent="0.25">
      <c r="B99" s="7" t="s">
        <v>197</v>
      </c>
      <c r="C99" s="7" t="s">
        <v>183</v>
      </c>
      <c r="D99" s="7" t="s">
        <v>167</v>
      </c>
      <c r="E99" s="24">
        <v>12008</v>
      </c>
      <c r="F99"/>
    </row>
    <row r="100" spans="2:6" x14ac:dyDescent="0.25">
      <c r="B100" s="7" t="s">
        <v>197</v>
      </c>
      <c r="C100" s="7" t="s">
        <v>177</v>
      </c>
      <c r="D100" s="7" t="s">
        <v>173</v>
      </c>
      <c r="E100" s="24">
        <v>6848</v>
      </c>
      <c r="F100"/>
    </row>
    <row r="101" spans="2:6" x14ac:dyDescent="0.25">
      <c r="B101" s="7" t="s">
        <v>197</v>
      </c>
      <c r="C101" s="7" t="s">
        <v>178</v>
      </c>
      <c r="D101" s="7" t="s">
        <v>173</v>
      </c>
      <c r="E101" s="24">
        <v>1090</v>
      </c>
      <c r="F101"/>
    </row>
    <row r="102" spans="2:6" x14ac:dyDescent="0.25">
      <c r="B102" s="7" t="s">
        <v>197</v>
      </c>
      <c r="C102" s="7" t="s">
        <v>179</v>
      </c>
      <c r="D102" s="7" t="s">
        <v>164</v>
      </c>
      <c r="E102" s="24">
        <v>6834</v>
      </c>
      <c r="F102"/>
    </row>
    <row r="103" spans="2:6" x14ac:dyDescent="0.25">
      <c r="B103" s="7" t="s">
        <v>197</v>
      </c>
      <c r="C103" s="7" t="s">
        <v>180</v>
      </c>
      <c r="D103" s="7" t="s">
        <v>167</v>
      </c>
      <c r="E103" s="24">
        <v>7560.0000000000009</v>
      </c>
      <c r="F103"/>
    </row>
    <row r="104" spans="2:6" x14ac:dyDescent="0.25">
      <c r="B104" s="7" t="s">
        <v>197</v>
      </c>
      <c r="C104" s="7" t="s">
        <v>182</v>
      </c>
      <c r="D104" s="7" t="s">
        <v>162</v>
      </c>
      <c r="E104" s="24">
        <v>2530</v>
      </c>
      <c r="F104"/>
    </row>
    <row r="105" spans="2:6" x14ac:dyDescent="0.25">
      <c r="B105" s="7" t="s">
        <v>197</v>
      </c>
      <c r="C105" s="7" t="s">
        <v>185</v>
      </c>
      <c r="D105" s="7" t="s">
        <v>164</v>
      </c>
      <c r="E105" s="24">
        <v>2822</v>
      </c>
      <c r="F105"/>
    </row>
    <row r="106" spans="2:6" x14ac:dyDescent="0.25">
      <c r="B106" s="7" t="s">
        <v>197</v>
      </c>
      <c r="C106" s="7" t="s">
        <v>158</v>
      </c>
      <c r="D106" s="7" t="s">
        <v>159</v>
      </c>
      <c r="E106" s="24">
        <v>38186</v>
      </c>
      <c r="F106"/>
    </row>
    <row r="107" spans="2:6" x14ac:dyDescent="0.25">
      <c r="B107" s="7" t="s">
        <v>197</v>
      </c>
      <c r="C107" s="7" t="s">
        <v>160</v>
      </c>
      <c r="D107" s="7" t="s">
        <v>159</v>
      </c>
      <c r="E107" s="24">
        <v>8432</v>
      </c>
      <c r="F107"/>
    </row>
    <row r="108" spans="2:6" x14ac:dyDescent="0.25">
      <c r="B108" s="7" t="s">
        <v>197</v>
      </c>
      <c r="C108" s="7" t="s">
        <v>192</v>
      </c>
      <c r="D108" s="7" t="s">
        <v>173</v>
      </c>
      <c r="E108" s="24">
        <v>44070</v>
      </c>
      <c r="F108"/>
    </row>
    <row r="109" spans="2:6" x14ac:dyDescent="0.25">
      <c r="B109" s="7" t="s">
        <v>197</v>
      </c>
      <c r="C109" s="7" t="s">
        <v>165</v>
      </c>
      <c r="D109" s="7" t="s">
        <v>162</v>
      </c>
      <c r="E109" s="24">
        <v>11918</v>
      </c>
      <c r="F109"/>
    </row>
    <row r="110" spans="2:6" x14ac:dyDescent="0.25">
      <c r="B110" s="7" t="s">
        <v>197</v>
      </c>
      <c r="C110" s="7" t="s">
        <v>166</v>
      </c>
      <c r="D110" s="7" t="s">
        <v>167</v>
      </c>
      <c r="E110" s="24">
        <v>2960</v>
      </c>
      <c r="F110"/>
    </row>
    <row r="111" spans="2:6" x14ac:dyDescent="0.25">
      <c r="B111" s="7" t="s">
        <v>197</v>
      </c>
      <c r="C111" s="7" t="s">
        <v>168</v>
      </c>
      <c r="D111" s="7" t="s">
        <v>164</v>
      </c>
      <c r="E111" s="24">
        <v>115680</v>
      </c>
      <c r="F111"/>
    </row>
    <row r="112" spans="2:6" x14ac:dyDescent="0.25">
      <c r="B112" s="7" t="s">
        <v>197</v>
      </c>
      <c r="C112" s="7" t="s">
        <v>169</v>
      </c>
      <c r="D112" s="7" t="s">
        <v>159</v>
      </c>
      <c r="E112" s="24">
        <v>8246</v>
      </c>
      <c r="F112"/>
    </row>
    <row r="113" spans="2:6" x14ac:dyDescent="0.25">
      <c r="B113" s="7" t="s">
        <v>197</v>
      </c>
      <c r="C113" s="7" t="s">
        <v>170</v>
      </c>
      <c r="D113" s="7" t="s">
        <v>159</v>
      </c>
      <c r="E113" s="24">
        <v>1535</v>
      </c>
      <c r="F113"/>
    </row>
    <row r="114" spans="2:6" x14ac:dyDescent="0.25">
      <c r="B114" s="7" t="s">
        <v>197</v>
      </c>
      <c r="C114" s="7" t="s">
        <v>193</v>
      </c>
      <c r="D114" s="7" t="s">
        <v>173</v>
      </c>
      <c r="E114" s="24">
        <v>3136</v>
      </c>
      <c r="F114"/>
    </row>
    <row r="115" spans="2:6" x14ac:dyDescent="0.25">
      <c r="B115" s="7" t="s">
        <v>197</v>
      </c>
      <c r="C115" s="7" t="s">
        <v>191</v>
      </c>
      <c r="D115" s="7" t="s">
        <v>162</v>
      </c>
      <c r="E115" s="24">
        <v>3833.9999999999995</v>
      </c>
      <c r="F115"/>
    </row>
    <row r="116" spans="2:6" x14ac:dyDescent="0.25">
      <c r="B116" s="7" t="s">
        <v>197</v>
      </c>
      <c r="C116" s="7" t="s">
        <v>171</v>
      </c>
      <c r="D116" s="7" t="s">
        <v>164</v>
      </c>
      <c r="E116" s="24">
        <v>18252</v>
      </c>
      <c r="F116"/>
    </row>
    <row r="117" spans="2:6" x14ac:dyDescent="0.25">
      <c r="B117" s="7" t="s">
        <v>197</v>
      </c>
      <c r="C117" s="7" t="s">
        <v>184</v>
      </c>
      <c r="D117" s="7" t="s">
        <v>159</v>
      </c>
      <c r="E117" s="24">
        <v>1064</v>
      </c>
      <c r="F117"/>
    </row>
    <row r="118" spans="2:6" x14ac:dyDescent="0.25">
      <c r="B118" s="7" t="s">
        <v>197</v>
      </c>
      <c r="C118" s="7" t="s">
        <v>189</v>
      </c>
      <c r="D118" s="7" t="s">
        <v>164</v>
      </c>
      <c r="E118" s="24">
        <v>2541</v>
      </c>
      <c r="F118"/>
    </row>
    <row r="119" spans="2:6" x14ac:dyDescent="0.25">
      <c r="B119" s="7" t="s">
        <v>197</v>
      </c>
      <c r="C119" s="7" t="s">
        <v>172</v>
      </c>
      <c r="D119" s="7" t="s">
        <v>173</v>
      </c>
      <c r="E119" s="24">
        <v>5900</v>
      </c>
      <c r="F119"/>
    </row>
    <row r="120" spans="2:6" x14ac:dyDescent="0.25">
      <c r="B120" s="7" t="s">
        <v>197</v>
      </c>
      <c r="C120" s="7" t="s">
        <v>194</v>
      </c>
      <c r="D120" s="7" t="s">
        <v>173</v>
      </c>
      <c r="E120" s="24">
        <v>51816</v>
      </c>
      <c r="F120"/>
    </row>
    <row r="121" spans="2:6" x14ac:dyDescent="0.25">
      <c r="B121" s="7" t="s">
        <v>197</v>
      </c>
      <c r="C121" s="7" t="s">
        <v>175</v>
      </c>
      <c r="D121" s="7" t="s">
        <v>167</v>
      </c>
      <c r="E121" s="24">
        <v>8820</v>
      </c>
      <c r="F121"/>
    </row>
    <row r="122" spans="2:6" x14ac:dyDescent="0.25">
      <c r="B122" s="7" t="s">
        <v>197</v>
      </c>
      <c r="C122" s="7" t="s">
        <v>195</v>
      </c>
      <c r="D122" s="7" t="s">
        <v>162</v>
      </c>
      <c r="E122" s="24">
        <v>1452.0000000000002</v>
      </c>
      <c r="F122"/>
    </row>
    <row r="123" spans="2:6" x14ac:dyDescent="0.25">
      <c r="B123" s="7" t="s">
        <v>197</v>
      </c>
      <c r="C123" s="7" t="s">
        <v>183</v>
      </c>
      <c r="D123" s="7" t="s">
        <v>167</v>
      </c>
      <c r="E123" s="24">
        <v>1580</v>
      </c>
      <c r="F123"/>
    </row>
    <row r="124" spans="2:6" x14ac:dyDescent="0.25">
      <c r="B124" s="7" t="s">
        <v>197</v>
      </c>
      <c r="C124" s="7" t="s">
        <v>177</v>
      </c>
      <c r="D124" s="7" t="s">
        <v>173</v>
      </c>
      <c r="E124" s="24">
        <v>8239</v>
      </c>
      <c r="F124"/>
    </row>
    <row r="125" spans="2:6" x14ac:dyDescent="0.25">
      <c r="B125" s="7" t="s">
        <v>197</v>
      </c>
      <c r="C125" s="7" t="s">
        <v>188</v>
      </c>
      <c r="D125" s="7" t="s">
        <v>173</v>
      </c>
      <c r="E125" s="24">
        <v>4960</v>
      </c>
      <c r="F125"/>
    </row>
    <row r="126" spans="2:6" x14ac:dyDescent="0.25">
      <c r="B126" s="7" t="s">
        <v>197</v>
      </c>
      <c r="C126" s="7" t="s">
        <v>178</v>
      </c>
      <c r="D126" s="7" t="s">
        <v>173</v>
      </c>
      <c r="E126" s="24">
        <v>1308</v>
      </c>
      <c r="F126"/>
    </row>
    <row r="127" spans="2:6" x14ac:dyDescent="0.25">
      <c r="B127" s="7" t="s">
        <v>197</v>
      </c>
      <c r="C127" s="7" t="s">
        <v>190</v>
      </c>
      <c r="D127" s="7" t="s">
        <v>162</v>
      </c>
      <c r="E127" s="24">
        <v>84</v>
      </c>
      <c r="F127"/>
    </row>
    <row r="128" spans="2:6" x14ac:dyDescent="0.25">
      <c r="B128" s="7" t="s">
        <v>197</v>
      </c>
      <c r="C128" s="7" t="s">
        <v>179</v>
      </c>
      <c r="D128" s="7" t="s">
        <v>164</v>
      </c>
      <c r="E128" s="24">
        <v>23358</v>
      </c>
      <c r="F128"/>
    </row>
    <row r="129" spans="2:6" x14ac:dyDescent="0.25">
      <c r="B129" s="7" t="s">
        <v>197</v>
      </c>
      <c r="C129" s="7" t="s">
        <v>180</v>
      </c>
      <c r="D129" s="7" t="s">
        <v>167</v>
      </c>
      <c r="E129" s="24">
        <v>7200</v>
      </c>
      <c r="F129"/>
    </row>
    <row r="130" spans="2:6" x14ac:dyDescent="0.25">
      <c r="B130" s="7" t="s">
        <v>197</v>
      </c>
      <c r="C130" s="7" t="s">
        <v>186</v>
      </c>
      <c r="D130" s="7" t="s">
        <v>167</v>
      </c>
      <c r="E130" s="24">
        <v>15732</v>
      </c>
      <c r="F130"/>
    </row>
    <row r="131" spans="2:6" x14ac:dyDescent="0.25">
      <c r="B131" s="7" t="s">
        <v>197</v>
      </c>
      <c r="C131" s="7" t="s">
        <v>182</v>
      </c>
      <c r="D131" s="7" t="s">
        <v>162</v>
      </c>
      <c r="E131" s="24">
        <v>7130.0000000000009</v>
      </c>
      <c r="F131"/>
    </row>
    <row r="132" spans="2:6" x14ac:dyDescent="0.25">
      <c r="B132" s="7" t="s">
        <v>197</v>
      </c>
      <c r="C132" s="7" t="s">
        <v>158</v>
      </c>
      <c r="D132" s="7" t="s">
        <v>159</v>
      </c>
      <c r="E132" s="24">
        <v>15337.000000000002</v>
      </c>
      <c r="F132"/>
    </row>
    <row r="133" spans="2:6" x14ac:dyDescent="0.25">
      <c r="B133" s="7" t="s">
        <v>197</v>
      </c>
      <c r="C133" s="7" t="s">
        <v>160</v>
      </c>
      <c r="D133" s="7" t="s">
        <v>159</v>
      </c>
      <c r="E133" s="24">
        <v>3196</v>
      </c>
      <c r="F133"/>
    </row>
    <row r="134" spans="2:6" x14ac:dyDescent="0.25">
      <c r="B134" s="7" t="s">
        <v>197</v>
      </c>
      <c r="C134" s="7" t="s">
        <v>192</v>
      </c>
      <c r="D134" s="7" t="s">
        <v>173</v>
      </c>
      <c r="E134" s="24">
        <v>55596</v>
      </c>
      <c r="F134"/>
    </row>
    <row r="135" spans="2:6" x14ac:dyDescent="0.25">
      <c r="B135" s="7" t="s">
        <v>197</v>
      </c>
      <c r="C135" s="7" t="s">
        <v>165</v>
      </c>
      <c r="D135" s="7" t="s">
        <v>162</v>
      </c>
      <c r="E135" s="24">
        <v>6262</v>
      </c>
      <c r="F135"/>
    </row>
    <row r="136" spans="2:6" x14ac:dyDescent="0.25">
      <c r="B136" s="7" t="s">
        <v>197</v>
      </c>
      <c r="C136" s="7" t="s">
        <v>166</v>
      </c>
      <c r="D136" s="7" t="s">
        <v>167</v>
      </c>
      <c r="E136" s="24">
        <v>9620</v>
      </c>
      <c r="F136"/>
    </row>
    <row r="137" spans="2:6" x14ac:dyDescent="0.25">
      <c r="B137" s="7" t="s">
        <v>197</v>
      </c>
      <c r="C137" s="7" t="s">
        <v>169</v>
      </c>
      <c r="D137" s="7" t="s">
        <v>159</v>
      </c>
      <c r="E137" s="24">
        <v>9443</v>
      </c>
      <c r="F137"/>
    </row>
    <row r="138" spans="2:6" x14ac:dyDescent="0.25">
      <c r="B138" s="7" t="s">
        <v>197</v>
      </c>
      <c r="C138" s="7" t="s">
        <v>170</v>
      </c>
      <c r="D138" s="7" t="s">
        <v>159</v>
      </c>
      <c r="E138" s="24">
        <v>14736</v>
      </c>
      <c r="F138"/>
    </row>
    <row r="139" spans="2:6" x14ac:dyDescent="0.25">
      <c r="B139" s="7" t="s">
        <v>197</v>
      </c>
      <c r="C139" s="7" t="s">
        <v>193</v>
      </c>
      <c r="D139" s="7" t="s">
        <v>173</v>
      </c>
      <c r="E139" s="24">
        <v>2816</v>
      </c>
      <c r="F139"/>
    </row>
    <row r="140" spans="2:6" x14ac:dyDescent="0.25">
      <c r="B140" s="7" t="s">
        <v>197</v>
      </c>
      <c r="C140" s="7" t="s">
        <v>191</v>
      </c>
      <c r="D140" s="7" t="s">
        <v>162</v>
      </c>
      <c r="E140" s="24">
        <v>2627</v>
      </c>
      <c r="F140"/>
    </row>
    <row r="141" spans="2:6" x14ac:dyDescent="0.25">
      <c r="B141" s="7" t="s">
        <v>197</v>
      </c>
      <c r="C141" s="7" t="s">
        <v>171</v>
      </c>
      <c r="D141" s="7" t="s">
        <v>164</v>
      </c>
      <c r="E141" s="24">
        <v>10530</v>
      </c>
      <c r="F141"/>
    </row>
    <row r="142" spans="2:6" x14ac:dyDescent="0.25">
      <c r="B142" s="7" t="s">
        <v>197</v>
      </c>
      <c r="C142" s="7" t="s">
        <v>184</v>
      </c>
      <c r="D142" s="7" t="s">
        <v>159</v>
      </c>
      <c r="E142" s="24">
        <v>5935.9999999999991</v>
      </c>
      <c r="F142"/>
    </row>
    <row r="143" spans="2:6" x14ac:dyDescent="0.25">
      <c r="B143" s="7" t="s">
        <v>197</v>
      </c>
      <c r="C143" s="7" t="s">
        <v>189</v>
      </c>
      <c r="D143" s="7" t="s">
        <v>164</v>
      </c>
      <c r="E143" s="24">
        <v>7161</v>
      </c>
      <c r="F143"/>
    </row>
    <row r="144" spans="2:6" x14ac:dyDescent="0.25">
      <c r="B144" s="7" t="s">
        <v>197</v>
      </c>
      <c r="C144" s="7" t="s">
        <v>172</v>
      </c>
      <c r="D144" s="7" t="s">
        <v>173</v>
      </c>
      <c r="E144" s="24">
        <v>23836</v>
      </c>
      <c r="F144"/>
    </row>
    <row r="145" spans="2:6" x14ac:dyDescent="0.25">
      <c r="B145" s="7" t="s">
        <v>197</v>
      </c>
      <c r="C145" s="7" t="s">
        <v>174</v>
      </c>
      <c r="D145" s="7" t="s">
        <v>159</v>
      </c>
      <c r="E145" s="24">
        <v>10011</v>
      </c>
      <c r="F145"/>
    </row>
    <row r="146" spans="2:6" x14ac:dyDescent="0.25">
      <c r="B146" s="7" t="s">
        <v>197</v>
      </c>
      <c r="C146" s="7" t="s">
        <v>194</v>
      </c>
      <c r="D146" s="7" t="s">
        <v>173</v>
      </c>
      <c r="E146" s="24">
        <v>31416</v>
      </c>
      <c r="F146"/>
    </row>
    <row r="147" spans="2:6" x14ac:dyDescent="0.25">
      <c r="B147" s="7" t="s">
        <v>197</v>
      </c>
      <c r="C147" s="7" t="s">
        <v>175</v>
      </c>
      <c r="D147" s="7" t="s">
        <v>167</v>
      </c>
      <c r="E147" s="24">
        <v>3780</v>
      </c>
      <c r="F147"/>
    </row>
    <row r="148" spans="2:6" x14ac:dyDescent="0.25">
      <c r="B148" s="7" t="s">
        <v>197</v>
      </c>
      <c r="C148" s="7" t="s">
        <v>183</v>
      </c>
      <c r="D148" s="7" t="s">
        <v>167</v>
      </c>
      <c r="E148" s="24">
        <v>42976</v>
      </c>
      <c r="F148"/>
    </row>
    <row r="149" spans="2:6" x14ac:dyDescent="0.25">
      <c r="B149" s="7" t="s">
        <v>197</v>
      </c>
      <c r="C149" s="7" t="s">
        <v>177</v>
      </c>
      <c r="D149" s="7" t="s">
        <v>173</v>
      </c>
      <c r="E149" s="24">
        <v>20330</v>
      </c>
      <c r="F149"/>
    </row>
    <row r="150" spans="2:6" x14ac:dyDescent="0.25">
      <c r="B150" s="7" t="s">
        <v>197</v>
      </c>
      <c r="C150" s="7" t="s">
        <v>188</v>
      </c>
      <c r="D150" s="7" t="s">
        <v>173</v>
      </c>
      <c r="E150" s="24">
        <v>1488</v>
      </c>
      <c r="F150"/>
    </row>
    <row r="151" spans="2:6" x14ac:dyDescent="0.25">
      <c r="B151" s="7" t="s">
        <v>197</v>
      </c>
      <c r="C151" s="7" t="s">
        <v>178</v>
      </c>
      <c r="D151" s="7" t="s">
        <v>173</v>
      </c>
      <c r="E151" s="24">
        <v>545</v>
      </c>
      <c r="F151"/>
    </row>
    <row r="152" spans="2:6" x14ac:dyDescent="0.25">
      <c r="B152" s="7" t="s">
        <v>197</v>
      </c>
      <c r="C152" s="7" t="s">
        <v>179</v>
      </c>
      <c r="D152" s="7" t="s">
        <v>164</v>
      </c>
      <c r="E152" s="24">
        <v>22236</v>
      </c>
      <c r="F152"/>
    </row>
    <row r="153" spans="2:6" x14ac:dyDescent="0.25">
      <c r="B153" s="7" t="s">
        <v>197</v>
      </c>
      <c r="C153" s="7" t="s">
        <v>180</v>
      </c>
      <c r="D153" s="7" t="s">
        <v>167</v>
      </c>
      <c r="E153" s="24">
        <v>1080</v>
      </c>
      <c r="F153"/>
    </row>
    <row r="154" spans="2:6" x14ac:dyDescent="0.25">
      <c r="B154" s="7" t="s">
        <v>197</v>
      </c>
      <c r="C154" s="7" t="s">
        <v>182</v>
      </c>
      <c r="D154" s="7" t="s">
        <v>162</v>
      </c>
      <c r="E154" s="24">
        <v>5520</v>
      </c>
      <c r="F154"/>
    </row>
    <row r="155" spans="2:6" x14ac:dyDescent="0.25">
      <c r="B155" s="7" t="s">
        <v>198</v>
      </c>
      <c r="C155" s="7" t="s">
        <v>158</v>
      </c>
      <c r="D155" s="7" t="s">
        <v>159</v>
      </c>
      <c r="E155" s="24">
        <v>33804</v>
      </c>
      <c r="F155"/>
    </row>
    <row r="156" spans="2:6" x14ac:dyDescent="0.25">
      <c r="B156" s="7" t="s">
        <v>198</v>
      </c>
      <c r="C156" s="7" t="s">
        <v>160</v>
      </c>
      <c r="D156" s="7" t="s">
        <v>159</v>
      </c>
      <c r="E156" s="24">
        <v>2448</v>
      </c>
      <c r="F156"/>
    </row>
    <row r="157" spans="2:6" x14ac:dyDescent="0.25">
      <c r="B157" s="7" t="s">
        <v>198</v>
      </c>
      <c r="C157" s="7" t="s">
        <v>192</v>
      </c>
      <c r="D157" s="7" t="s">
        <v>173</v>
      </c>
      <c r="E157" s="24">
        <v>104073</v>
      </c>
      <c r="F157"/>
    </row>
    <row r="158" spans="2:6" x14ac:dyDescent="0.25">
      <c r="B158" s="7" t="s">
        <v>198</v>
      </c>
      <c r="C158" s="7" t="s">
        <v>163</v>
      </c>
      <c r="D158" s="7" t="s">
        <v>164</v>
      </c>
      <c r="E158" s="24">
        <v>927.99999999999989</v>
      </c>
      <c r="F158"/>
    </row>
    <row r="159" spans="2:6" x14ac:dyDescent="0.25">
      <c r="B159" s="7" t="s">
        <v>198</v>
      </c>
      <c r="C159" s="7" t="s">
        <v>166</v>
      </c>
      <c r="D159" s="7" t="s">
        <v>167</v>
      </c>
      <c r="E159" s="24">
        <v>5180</v>
      </c>
      <c r="F159"/>
    </row>
    <row r="160" spans="2:6" x14ac:dyDescent="0.25">
      <c r="B160" s="7" t="s">
        <v>198</v>
      </c>
      <c r="C160" s="7" t="s">
        <v>168</v>
      </c>
      <c r="D160" s="7" t="s">
        <v>164</v>
      </c>
      <c r="E160" s="24">
        <v>116644</v>
      </c>
      <c r="F160"/>
    </row>
    <row r="161" spans="2:6" x14ac:dyDescent="0.25">
      <c r="B161" s="7" t="s">
        <v>198</v>
      </c>
      <c r="C161" s="7" t="s">
        <v>169</v>
      </c>
      <c r="D161" s="7" t="s">
        <v>159</v>
      </c>
      <c r="E161" s="24">
        <v>6117.9999999999991</v>
      </c>
      <c r="F161"/>
    </row>
    <row r="162" spans="2:6" x14ac:dyDescent="0.25">
      <c r="B162" s="7" t="s">
        <v>198</v>
      </c>
      <c r="C162" s="7" t="s">
        <v>170</v>
      </c>
      <c r="D162" s="7" t="s">
        <v>159</v>
      </c>
      <c r="E162" s="24">
        <v>15964</v>
      </c>
      <c r="F162"/>
    </row>
    <row r="163" spans="2:6" x14ac:dyDescent="0.25">
      <c r="B163" s="7" t="s">
        <v>198</v>
      </c>
      <c r="C163" s="7" t="s">
        <v>193</v>
      </c>
      <c r="D163" s="7" t="s">
        <v>173</v>
      </c>
      <c r="E163" s="24">
        <v>2048</v>
      </c>
      <c r="F163"/>
    </row>
    <row r="164" spans="2:6" x14ac:dyDescent="0.25">
      <c r="B164" s="7" t="s">
        <v>198</v>
      </c>
      <c r="C164" s="7" t="s">
        <v>196</v>
      </c>
      <c r="D164" s="7" t="s">
        <v>167</v>
      </c>
      <c r="E164" s="24">
        <v>902</v>
      </c>
      <c r="F164"/>
    </row>
    <row r="165" spans="2:6" x14ac:dyDescent="0.25">
      <c r="B165" s="7" t="s">
        <v>198</v>
      </c>
      <c r="C165" s="7" t="s">
        <v>191</v>
      </c>
      <c r="D165" s="7" t="s">
        <v>162</v>
      </c>
      <c r="E165" s="24">
        <v>2840</v>
      </c>
      <c r="F165"/>
    </row>
    <row r="166" spans="2:6" x14ac:dyDescent="0.25">
      <c r="B166" s="7" t="s">
        <v>198</v>
      </c>
      <c r="C166" s="7" t="s">
        <v>171</v>
      </c>
      <c r="D166" s="7" t="s">
        <v>164</v>
      </c>
      <c r="E166" s="24">
        <v>16848</v>
      </c>
      <c r="F166"/>
    </row>
    <row r="167" spans="2:6" x14ac:dyDescent="0.25">
      <c r="B167" s="7" t="s">
        <v>198</v>
      </c>
      <c r="C167" s="7" t="s">
        <v>184</v>
      </c>
      <c r="D167" s="7" t="s">
        <v>159</v>
      </c>
      <c r="E167" s="24">
        <v>391.99999999999994</v>
      </c>
      <c r="F167"/>
    </row>
    <row r="168" spans="2:6" x14ac:dyDescent="0.25">
      <c r="B168" s="7" t="s">
        <v>198</v>
      </c>
      <c r="C168" s="7" t="s">
        <v>189</v>
      </c>
      <c r="D168" s="7" t="s">
        <v>164</v>
      </c>
      <c r="E168" s="24">
        <v>8316</v>
      </c>
      <c r="F168"/>
    </row>
    <row r="169" spans="2:6" x14ac:dyDescent="0.25">
      <c r="B169" s="7" t="s">
        <v>198</v>
      </c>
      <c r="C169" s="7" t="s">
        <v>172</v>
      </c>
      <c r="D169" s="7" t="s">
        <v>173</v>
      </c>
      <c r="E169" s="24">
        <v>4012</v>
      </c>
      <c r="F169"/>
    </row>
    <row r="170" spans="2:6" x14ac:dyDescent="0.25">
      <c r="B170" s="7" t="s">
        <v>198</v>
      </c>
      <c r="C170" s="7" t="s">
        <v>174</v>
      </c>
      <c r="D170" s="7" t="s">
        <v>159</v>
      </c>
      <c r="E170" s="24">
        <v>11928</v>
      </c>
      <c r="F170"/>
    </row>
    <row r="171" spans="2:6" x14ac:dyDescent="0.25">
      <c r="B171" s="7" t="s">
        <v>198</v>
      </c>
      <c r="C171" s="7" t="s">
        <v>194</v>
      </c>
      <c r="D171" s="7" t="s">
        <v>173</v>
      </c>
      <c r="E171" s="24">
        <v>29376</v>
      </c>
      <c r="F171"/>
    </row>
    <row r="172" spans="2:6" x14ac:dyDescent="0.25">
      <c r="B172" s="7" t="s">
        <v>198</v>
      </c>
      <c r="C172" s="7" t="s">
        <v>175</v>
      </c>
      <c r="D172" s="7" t="s">
        <v>167</v>
      </c>
      <c r="E172" s="24">
        <v>7770</v>
      </c>
      <c r="F172"/>
    </row>
    <row r="173" spans="2:6" x14ac:dyDescent="0.25">
      <c r="B173" s="7" t="s">
        <v>198</v>
      </c>
      <c r="C173" s="7" t="s">
        <v>195</v>
      </c>
      <c r="D173" s="7" t="s">
        <v>162</v>
      </c>
      <c r="E173" s="24">
        <v>2904.0000000000005</v>
      </c>
      <c r="F173"/>
    </row>
    <row r="174" spans="2:6" x14ac:dyDescent="0.25">
      <c r="B174" s="7" t="s">
        <v>198</v>
      </c>
      <c r="C174" s="7" t="s">
        <v>183</v>
      </c>
      <c r="D174" s="7" t="s">
        <v>167</v>
      </c>
      <c r="E174" s="24">
        <v>66676</v>
      </c>
      <c r="F174"/>
    </row>
    <row r="175" spans="2:6" x14ac:dyDescent="0.25">
      <c r="B175" s="7" t="s">
        <v>198</v>
      </c>
      <c r="C175" s="7" t="s">
        <v>177</v>
      </c>
      <c r="D175" s="7" t="s">
        <v>173</v>
      </c>
      <c r="E175" s="24">
        <v>15301</v>
      </c>
      <c r="F175"/>
    </row>
    <row r="176" spans="2:6" x14ac:dyDescent="0.25">
      <c r="B176" s="7" t="s">
        <v>198</v>
      </c>
      <c r="C176" s="7" t="s">
        <v>179</v>
      </c>
      <c r="D176" s="7" t="s">
        <v>164</v>
      </c>
      <c r="E176" s="24">
        <v>15096</v>
      </c>
      <c r="F176"/>
    </row>
    <row r="177" spans="2:6" x14ac:dyDescent="0.25">
      <c r="B177" s="7" t="s">
        <v>198</v>
      </c>
      <c r="C177" s="7" t="s">
        <v>186</v>
      </c>
      <c r="D177" s="7" t="s">
        <v>167</v>
      </c>
      <c r="E177" s="24">
        <v>3496</v>
      </c>
      <c r="F177"/>
    </row>
    <row r="178" spans="2:6" x14ac:dyDescent="0.25">
      <c r="B178" s="7" t="s">
        <v>198</v>
      </c>
      <c r="C178" s="7" t="s">
        <v>181</v>
      </c>
      <c r="D178" s="7" t="s">
        <v>159</v>
      </c>
      <c r="E178" s="24">
        <v>18326</v>
      </c>
      <c r="F178"/>
    </row>
    <row r="179" spans="2:6" x14ac:dyDescent="0.25">
      <c r="B179" s="7" t="s">
        <v>198</v>
      </c>
      <c r="C179" s="7" t="s">
        <v>182</v>
      </c>
      <c r="D179" s="7" t="s">
        <v>162</v>
      </c>
      <c r="E179" s="24">
        <v>4140</v>
      </c>
      <c r="F179"/>
    </row>
    <row r="180" spans="2:6" x14ac:dyDescent="0.25">
      <c r="B180" s="7" t="s">
        <v>198</v>
      </c>
      <c r="C180" s="7" t="s">
        <v>185</v>
      </c>
      <c r="D180" s="7" t="s">
        <v>164</v>
      </c>
      <c r="E180" s="24">
        <v>1660</v>
      </c>
      <c r="F180"/>
    </row>
    <row r="181" spans="2:6" x14ac:dyDescent="0.25">
      <c r="B181" s="7" t="s">
        <v>198</v>
      </c>
      <c r="C181" s="7" t="s">
        <v>158</v>
      </c>
      <c r="D181" s="7" t="s">
        <v>159</v>
      </c>
      <c r="E181" s="24">
        <v>41942</v>
      </c>
      <c r="F181"/>
    </row>
    <row r="182" spans="2:6" x14ac:dyDescent="0.25">
      <c r="B182" s="7" t="s">
        <v>198</v>
      </c>
      <c r="C182" s="7" t="s">
        <v>160</v>
      </c>
      <c r="D182" s="7" t="s">
        <v>159</v>
      </c>
      <c r="E182" s="24">
        <v>2720</v>
      </c>
      <c r="F182"/>
    </row>
    <row r="183" spans="2:6" x14ac:dyDescent="0.25">
      <c r="B183" s="7" t="s">
        <v>198</v>
      </c>
      <c r="C183" s="7" t="s">
        <v>192</v>
      </c>
      <c r="D183" s="7" t="s">
        <v>173</v>
      </c>
      <c r="E183" s="24">
        <v>58986</v>
      </c>
      <c r="F183"/>
    </row>
    <row r="184" spans="2:6" x14ac:dyDescent="0.25">
      <c r="B184" s="7" t="s">
        <v>198</v>
      </c>
      <c r="C184" s="7" t="s">
        <v>165</v>
      </c>
      <c r="D184" s="7" t="s">
        <v>162</v>
      </c>
      <c r="E184" s="24">
        <v>8282</v>
      </c>
      <c r="F184"/>
    </row>
    <row r="185" spans="2:6" x14ac:dyDescent="0.25">
      <c r="B185" s="7" t="s">
        <v>198</v>
      </c>
      <c r="C185" s="7" t="s">
        <v>166</v>
      </c>
      <c r="D185" s="7" t="s">
        <v>167</v>
      </c>
      <c r="E185" s="24">
        <v>3552</v>
      </c>
      <c r="F185"/>
    </row>
    <row r="186" spans="2:6" x14ac:dyDescent="0.25">
      <c r="B186" s="7" t="s">
        <v>198</v>
      </c>
      <c r="C186" s="7" t="s">
        <v>168</v>
      </c>
      <c r="D186" s="7" t="s">
        <v>164</v>
      </c>
      <c r="E186" s="24">
        <v>91580</v>
      </c>
      <c r="F186"/>
    </row>
    <row r="187" spans="2:6" x14ac:dyDescent="0.25">
      <c r="B187" s="7" t="s">
        <v>198</v>
      </c>
      <c r="C187" s="7" t="s">
        <v>169</v>
      </c>
      <c r="D187" s="7" t="s">
        <v>159</v>
      </c>
      <c r="E187" s="24">
        <v>14895.999999999998</v>
      </c>
      <c r="F187"/>
    </row>
    <row r="188" spans="2:6" x14ac:dyDescent="0.25">
      <c r="B188" s="7" t="s">
        <v>198</v>
      </c>
      <c r="C188" s="7" t="s">
        <v>170</v>
      </c>
      <c r="D188" s="7" t="s">
        <v>159</v>
      </c>
      <c r="E188" s="24">
        <v>7061</v>
      </c>
      <c r="F188"/>
    </row>
    <row r="189" spans="2:6" x14ac:dyDescent="0.25">
      <c r="B189" s="7" t="s">
        <v>198</v>
      </c>
      <c r="C189" s="7" t="s">
        <v>193</v>
      </c>
      <c r="D189" s="7" t="s">
        <v>173</v>
      </c>
      <c r="E189" s="24">
        <v>448</v>
      </c>
      <c r="F189"/>
    </row>
    <row r="190" spans="2:6" x14ac:dyDescent="0.25">
      <c r="B190" s="7" t="s">
        <v>198</v>
      </c>
      <c r="C190" s="7" t="s">
        <v>196</v>
      </c>
      <c r="D190" s="7" t="s">
        <v>167</v>
      </c>
      <c r="E190" s="24">
        <v>4510</v>
      </c>
      <c r="F190"/>
    </row>
    <row r="191" spans="2:6" x14ac:dyDescent="0.25">
      <c r="B191" s="7" t="s">
        <v>198</v>
      </c>
      <c r="C191" s="7" t="s">
        <v>191</v>
      </c>
      <c r="D191" s="7" t="s">
        <v>162</v>
      </c>
      <c r="E191" s="24">
        <v>496.99999999999994</v>
      </c>
      <c r="F191"/>
    </row>
    <row r="192" spans="2:6" x14ac:dyDescent="0.25">
      <c r="B192" s="7" t="s">
        <v>198</v>
      </c>
      <c r="C192" s="7" t="s">
        <v>184</v>
      </c>
      <c r="D192" s="7" t="s">
        <v>159</v>
      </c>
      <c r="E192" s="24">
        <v>1623.9999999999998</v>
      </c>
      <c r="F192"/>
    </row>
    <row r="193" spans="2:6" x14ac:dyDescent="0.25">
      <c r="B193" s="7" t="s">
        <v>198</v>
      </c>
      <c r="C193" s="7" t="s">
        <v>194</v>
      </c>
      <c r="D193" s="7" t="s">
        <v>173</v>
      </c>
      <c r="E193" s="24">
        <v>30804</v>
      </c>
      <c r="F193"/>
    </row>
    <row r="194" spans="2:6" x14ac:dyDescent="0.25">
      <c r="B194" s="7" t="s">
        <v>198</v>
      </c>
      <c r="C194" s="7" t="s">
        <v>175</v>
      </c>
      <c r="D194" s="7" t="s">
        <v>167</v>
      </c>
      <c r="E194" s="24">
        <v>6300</v>
      </c>
      <c r="F194"/>
    </row>
    <row r="195" spans="2:6" x14ac:dyDescent="0.25">
      <c r="B195" s="7" t="s">
        <v>198</v>
      </c>
      <c r="C195" s="7" t="s">
        <v>195</v>
      </c>
      <c r="D195" s="7" t="s">
        <v>162</v>
      </c>
      <c r="E195" s="24">
        <v>4114</v>
      </c>
      <c r="F195"/>
    </row>
    <row r="196" spans="2:6" x14ac:dyDescent="0.25">
      <c r="B196" s="7" t="s">
        <v>198</v>
      </c>
      <c r="C196" s="7" t="s">
        <v>183</v>
      </c>
      <c r="D196" s="7" t="s">
        <v>167</v>
      </c>
      <c r="E196" s="24">
        <v>7584.0000000000009</v>
      </c>
      <c r="F196"/>
    </row>
    <row r="197" spans="2:6" x14ac:dyDescent="0.25">
      <c r="B197" s="7" t="s">
        <v>198</v>
      </c>
      <c r="C197" s="7" t="s">
        <v>177</v>
      </c>
      <c r="D197" s="7" t="s">
        <v>173</v>
      </c>
      <c r="E197" s="24">
        <v>13268</v>
      </c>
      <c r="F197"/>
    </row>
    <row r="198" spans="2:6" x14ac:dyDescent="0.25">
      <c r="B198" s="7" t="s">
        <v>198</v>
      </c>
      <c r="C198" s="7" t="s">
        <v>178</v>
      </c>
      <c r="D198" s="7" t="s">
        <v>173</v>
      </c>
      <c r="E198" s="24">
        <v>2616</v>
      </c>
      <c r="F198"/>
    </row>
    <row r="199" spans="2:6" x14ac:dyDescent="0.25">
      <c r="B199" s="7" t="s">
        <v>198</v>
      </c>
      <c r="C199" s="7" t="s">
        <v>179</v>
      </c>
      <c r="D199" s="7" t="s">
        <v>164</v>
      </c>
      <c r="E199" s="24">
        <v>13566</v>
      </c>
      <c r="F199"/>
    </row>
    <row r="200" spans="2:6" x14ac:dyDescent="0.25">
      <c r="B200" s="7" t="s">
        <v>198</v>
      </c>
      <c r="C200" s="7" t="s">
        <v>180</v>
      </c>
      <c r="D200" s="7" t="s">
        <v>167</v>
      </c>
      <c r="E200" s="24">
        <v>1980.0000000000002</v>
      </c>
      <c r="F200"/>
    </row>
    <row r="201" spans="2:6" x14ac:dyDescent="0.25">
      <c r="B201" s="7" t="s">
        <v>198</v>
      </c>
      <c r="C201" s="7" t="s">
        <v>182</v>
      </c>
      <c r="D201" s="7" t="s">
        <v>162</v>
      </c>
      <c r="E201" s="24">
        <v>5750</v>
      </c>
      <c r="F201"/>
    </row>
    <row r="202" spans="2:6" x14ac:dyDescent="0.25">
      <c r="B202" s="7" t="s">
        <v>198</v>
      </c>
      <c r="C202" s="7" t="s">
        <v>158</v>
      </c>
      <c r="D202" s="7" t="s">
        <v>159</v>
      </c>
      <c r="E202" s="24">
        <v>35056</v>
      </c>
      <c r="F202"/>
    </row>
    <row r="203" spans="2:6" x14ac:dyDescent="0.25">
      <c r="B203" s="7" t="s">
        <v>198</v>
      </c>
      <c r="C203" s="7" t="s">
        <v>160</v>
      </c>
      <c r="D203" s="7" t="s">
        <v>159</v>
      </c>
      <c r="E203" s="24">
        <v>8500</v>
      </c>
      <c r="F203"/>
    </row>
    <row r="204" spans="2:6" x14ac:dyDescent="0.25">
      <c r="B204" s="7" t="s">
        <v>198</v>
      </c>
      <c r="C204" s="7" t="s">
        <v>192</v>
      </c>
      <c r="D204" s="7" t="s">
        <v>173</v>
      </c>
      <c r="E204" s="24">
        <v>109158</v>
      </c>
      <c r="F204"/>
    </row>
    <row r="205" spans="2:6" x14ac:dyDescent="0.25">
      <c r="B205" s="7" t="s">
        <v>198</v>
      </c>
      <c r="C205" s="7" t="s">
        <v>165</v>
      </c>
      <c r="D205" s="7" t="s">
        <v>162</v>
      </c>
      <c r="E205" s="24">
        <v>9797</v>
      </c>
      <c r="F205"/>
    </row>
    <row r="206" spans="2:6" x14ac:dyDescent="0.25">
      <c r="B206" s="7" t="s">
        <v>198</v>
      </c>
      <c r="C206" s="7" t="s">
        <v>166</v>
      </c>
      <c r="D206" s="7" t="s">
        <v>167</v>
      </c>
      <c r="E206" s="24">
        <v>7844</v>
      </c>
      <c r="F206"/>
    </row>
    <row r="207" spans="2:6" x14ac:dyDescent="0.25">
      <c r="B207" s="7" t="s">
        <v>198</v>
      </c>
      <c r="C207" s="7" t="s">
        <v>168</v>
      </c>
      <c r="D207" s="7" t="s">
        <v>164</v>
      </c>
      <c r="E207" s="24">
        <v>36632</v>
      </c>
      <c r="F207"/>
    </row>
    <row r="208" spans="2:6" x14ac:dyDescent="0.25">
      <c r="B208" s="7" t="s">
        <v>198</v>
      </c>
      <c r="C208" s="7" t="s">
        <v>169</v>
      </c>
      <c r="D208" s="7" t="s">
        <v>159</v>
      </c>
      <c r="E208" s="24">
        <v>19950</v>
      </c>
      <c r="F208"/>
    </row>
    <row r="209" spans="2:6" x14ac:dyDescent="0.25">
      <c r="B209" s="7" t="s">
        <v>198</v>
      </c>
      <c r="C209" s="7" t="s">
        <v>170</v>
      </c>
      <c r="D209" s="7" t="s">
        <v>159</v>
      </c>
      <c r="E209" s="24">
        <v>7368</v>
      </c>
      <c r="F209"/>
    </row>
    <row r="210" spans="2:6" x14ac:dyDescent="0.25">
      <c r="B210" s="7" t="s">
        <v>198</v>
      </c>
      <c r="C210" s="7" t="s">
        <v>193</v>
      </c>
      <c r="D210" s="7" t="s">
        <v>173</v>
      </c>
      <c r="E210" s="24">
        <v>384</v>
      </c>
      <c r="F210"/>
    </row>
    <row r="211" spans="2:6" x14ac:dyDescent="0.25">
      <c r="B211" s="7" t="s">
        <v>198</v>
      </c>
      <c r="C211" s="7" t="s">
        <v>196</v>
      </c>
      <c r="D211" s="7" t="s">
        <v>167</v>
      </c>
      <c r="E211" s="24">
        <v>1968</v>
      </c>
      <c r="F211"/>
    </row>
    <row r="212" spans="2:6" x14ac:dyDescent="0.25">
      <c r="B212" s="7" t="s">
        <v>198</v>
      </c>
      <c r="C212" s="7" t="s">
        <v>191</v>
      </c>
      <c r="D212" s="7" t="s">
        <v>162</v>
      </c>
      <c r="E212" s="24">
        <v>2627</v>
      </c>
      <c r="F212"/>
    </row>
    <row r="213" spans="2:6" x14ac:dyDescent="0.25">
      <c r="B213" s="7" t="s">
        <v>198</v>
      </c>
      <c r="C213" s="7" t="s">
        <v>171</v>
      </c>
      <c r="D213" s="7" t="s">
        <v>164</v>
      </c>
      <c r="E213" s="24">
        <v>5616</v>
      </c>
      <c r="F213"/>
    </row>
    <row r="214" spans="2:6" x14ac:dyDescent="0.25">
      <c r="B214" s="7" t="s">
        <v>198</v>
      </c>
      <c r="C214" s="7" t="s">
        <v>184</v>
      </c>
      <c r="D214" s="7" t="s">
        <v>159</v>
      </c>
      <c r="E214" s="24">
        <v>1679.9999999999998</v>
      </c>
      <c r="F214"/>
    </row>
    <row r="215" spans="2:6" x14ac:dyDescent="0.25">
      <c r="B215" s="7" t="s">
        <v>198</v>
      </c>
      <c r="C215" s="7" t="s">
        <v>172</v>
      </c>
      <c r="D215" s="7" t="s">
        <v>173</v>
      </c>
      <c r="E215" s="24">
        <v>8260</v>
      </c>
      <c r="F215"/>
    </row>
    <row r="216" spans="2:6" x14ac:dyDescent="0.25">
      <c r="B216" s="7" t="s">
        <v>198</v>
      </c>
      <c r="C216" s="7" t="s">
        <v>174</v>
      </c>
      <c r="D216" s="7" t="s">
        <v>159</v>
      </c>
      <c r="E216" s="24">
        <v>18318</v>
      </c>
      <c r="F216"/>
    </row>
    <row r="217" spans="2:6" x14ac:dyDescent="0.25">
      <c r="B217" s="7" t="s">
        <v>198</v>
      </c>
      <c r="C217" s="7" t="s">
        <v>194</v>
      </c>
      <c r="D217" s="7" t="s">
        <v>173</v>
      </c>
      <c r="E217" s="24">
        <v>41820</v>
      </c>
      <c r="F217"/>
    </row>
    <row r="218" spans="2:6" x14ac:dyDescent="0.25">
      <c r="B218" s="7" t="s">
        <v>198</v>
      </c>
      <c r="C218" s="7" t="s">
        <v>175</v>
      </c>
      <c r="D218" s="7" t="s">
        <v>167</v>
      </c>
      <c r="E218" s="24">
        <v>2100</v>
      </c>
      <c r="F218"/>
    </row>
    <row r="219" spans="2:6" x14ac:dyDescent="0.25">
      <c r="B219" s="7" t="s">
        <v>198</v>
      </c>
      <c r="C219" s="7" t="s">
        <v>195</v>
      </c>
      <c r="D219" s="7" t="s">
        <v>162</v>
      </c>
      <c r="E219" s="24">
        <v>605</v>
      </c>
      <c r="F219"/>
    </row>
    <row r="220" spans="2:6" x14ac:dyDescent="0.25">
      <c r="B220" s="7" t="s">
        <v>198</v>
      </c>
      <c r="C220" s="7" t="s">
        <v>183</v>
      </c>
      <c r="D220" s="7" t="s">
        <v>167</v>
      </c>
      <c r="E220" s="24">
        <v>42028</v>
      </c>
      <c r="F220"/>
    </row>
    <row r="221" spans="2:6" x14ac:dyDescent="0.25">
      <c r="B221" s="7" t="s">
        <v>198</v>
      </c>
      <c r="C221" s="7" t="s">
        <v>177</v>
      </c>
      <c r="D221" s="7" t="s">
        <v>173</v>
      </c>
      <c r="E221" s="24">
        <v>28355</v>
      </c>
      <c r="F221"/>
    </row>
    <row r="222" spans="2:6" x14ac:dyDescent="0.25">
      <c r="B222" s="7" t="s">
        <v>198</v>
      </c>
      <c r="C222" s="7" t="s">
        <v>178</v>
      </c>
      <c r="D222" s="7" t="s">
        <v>173</v>
      </c>
      <c r="E222" s="24">
        <v>6104</v>
      </c>
      <c r="F222"/>
    </row>
    <row r="223" spans="2:6" x14ac:dyDescent="0.25">
      <c r="B223" s="7" t="s">
        <v>198</v>
      </c>
      <c r="C223" s="7" t="s">
        <v>179</v>
      </c>
      <c r="D223" s="7" t="s">
        <v>164</v>
      </c>
      <c r="E223" s="24">
        <v>11220</v>
      </c>
      <c r="F223"/>
    </row>
    <row r="224" spans="2:6" x14ac:dyDescent="0.25">
      <c r="B224" s="7" t="s">
        <v>198</v>
      </c>
      <c r="C224" s="7" t="s">
        <v>180</v>
      </c>
      <c r="D224" s="7" t="s">
        <v>167</v>
      </c>
      <c r="E224" s="24">
        <v>12600</v>
      </c>
      <c r="F224"/>
    </row>
    <row r="225" spans="2:6" x14ac:dyDescent="0.25">
      <c r="B225" s="7" t="s">
        <v>199</v>
      </c>
      <c r="C225" s="7" t="s">
        <v>158</v>
      </c>
      <c r="D225" s="7" t="s">
        <v>159</v>
      </c>
      <c r="E225" s="24">
        <v>13772</v>
      </c>
      <c r="F225"/>
    </row>
    <row r="226" spans="2:6" x14ac:dyDescent="0.25">
      <c r="B226" s="7" t="s">
        <v>199</v>
      </c>
      <c r="C226" s="7" t="s">
        <v>160</v>
      </c>
      <c r="D226" s="7" t="s">
        <v>159</v>
      </c>
      <c r="E226" s="24">
        <v>884</v>
      </c>
      <c r="F226"/>
    </row>
    <row r="227" spans="2:6" x14ac:dyDescent="0.25">
      <c r="B227" s="7" t="s">
        <v>199</v>
      </c>
      <c r="C227" s="7" t="s">
        <v>192</v>
      </c>
      <c r="D227" s="7" t="s">
        <v>173</v>
      </c>
      <c r="E227" s="24">
        <v>70512</v>
      </c>
      <c r="F227"/>
    </row>
    <row r="228" spans="2:6" x14ac:dyDescent="0.25">
      <c r="B228" s="7" t="s">
        <v>199</v>
      </c>
      <c r="C228" s="7" t="s">
        <v>163</v>
      </c>
      <c r="D228" s="7" t="s">
        <v>164</v>
      </c>
      <c r="E228" s="24">
        <v>695.99999999999989</v>
      </c>
      <c r="F228"/>
    </row>
    <row r="229" spans="2:6" x14ac:dyDescent="0.25">
      <c r="B229" s="7" t="s">
        <v>199</v>
      </c>
      <c r="C229" s="7" t="s">
        <v>166</v>
      </c>
      <c r="D229" s="7" t="s">
        <v>167</v>
      </c>
      <c r="E229" s="24">
        <v>6068</v>
      </c>
      <c r="F229"/>
    </row>
    <row r="230" spans="2:6" x14ac:dyDescent="0.25">
      <c r="B230" s="7" t="s">
        <v>199</v>
      </c>
      <c r="C230" s="7" t="s">
        <v>168</v>
      </c>
      <c r="D230" s="7" t="s">
        <v>164</v>
      </c>
      <c r="E230" s="24">
        <v>77120</v>
      </c>
      <c r="F230"/>
    </row>
    <row r="231" spans="2:6" x14ac:dyDescent="0.25">
      <c r="B231" s="7" t="s">
        <v>199</v>
      </c>
      <c r="C231" s="7" t="s">
        <v>169</v>
      </c>
      <c r="D231" s="7" t="s">
        <v>159</v>
      </c>
      <c r="E231" s="24">
        <v>2261</v>
      </c>
      <c r="F231"/>
    </row>
    <row r="232" spans="2:6" x14ac:dyDescent="0.25">
      <c r="B232" s="7" t="s">
        <v>199</v>
      </c>
      <c r="C232" s="7" t="s">
        <v>170</v>
      </c>
      <c r="D232" s="7" t="s">
        <v>159</v>
      </c>
      <c r="E232" s="24">
        <v>7368</v>
      </c>
      <c r="F232"/>
    </row>
    <row r="233" spans="2:6" x14ac:dyDescent="0.25">
      <c r="B233" s="7" t="s">
        <v>199</v>
      </c>
      <c r="C233" s="7" t="s">
        <v>193</v>
      </c>
      <c r="D233" s="7" t="s">
        <v>173</v>
      </c>
      <c r="E233" s="24">
        <v>4864</v>
      </c>
      <c r="F233"/>
    </row>
    <row r="234" spans="2:6" x14ac:dyDescent="0.25">
      <c r="B234" s="7" t="s">
        <v>199</v>
      </c>
      <c r="C234" s="7" t="s">
        <v>196</v>
      </c>
      <c r="D234" s="7" t="s">
        <v>167</v>
      </c>
      <c r="E234" s="24">
        <v>3526</v>
      </c>
      <c r="F234"/>
    </row>
    <row r="235" spans="2:6" x14ac:dyDescent="0.25">
      <c r="B235" s="7" t="s">
        <v>199</v>
      </c>
      <c r="C235" s="7" t="s">
        <v>191</v>
      </c>
      <c r="D235" s="7" t="s">
        <v>162</v>
      </c>
      <c r="E235" s="24">
        <v>2201</v>
      </c>
      <c r="F235"/>
    </row>
    <row r="236" spans="2:6" x14ac:dyDescent="0.25">
      <c r="B236" s="7" t="s">
        <v>199</v>
      </c>
      <c r="C236" s="7" t="s">
        <v>171</v>
      </c>
      <c r="D236" s="7" t="s">
        <v>164</v>
      </c>
      <c r="E236" s="24">
        <v>13338</v>
      </c>
      <c r="F236"/>
    </row>
    <row r="237" spans="2:6" x14ac:dyDescent="0.25">
      <c r="B237" s="7" t="s">
        <v>199</v>
      </c>
      <c r="C237" s="7" t="s">
        <v>184</v>
      </c>
      <c r="D237" s="7" t="s">
        <v>159</v>
      </c>
      <c r="E237" s="24">
        <v>671.99999999999989</v>
      </c>
      <c r="F237"/>
    </row>
    <row r="238" spans="2:6" x14ac:dyDescent="0.25">
      <c r="B238" s="7" t="s">
        <v>199</v>
      </c>
      <c r="C238" s="7" t="s">
        <v>189</v>
      </c>
      <c r="D238" s="7" t="s">
        <v>164</v>
      </c>
      <c r="E238" s="24">
        <v>1155</v>
      </c>
      <c r="F238"/>
    </row>
    <row r="239" spans="2:6" x14ac:dyDescent="0.25">
      <c r="B239" s="7" t="s">
        <v>199</v>
      </c>
      <c r="C239" s="7" t="s">
        <v>174</v>
      </c>
      <c r="D239" s="7" t="s">
        <v>159</v>
      </c>
      <c r="E239" s="24">
        <v>11715</v>
      </c>
      <c r="F239"/>
    </row>
    <row r="240" spans="2:6" x14ac:dyDescent="0.25">
      <c r="B240" s="7" t="s">
        <v>199</v>
      </c>
      <c r="C240" s="7" t="s">
        <v>194</v>
      </c>
      <c r="D240" s="7" t="s">
        <v>173</v>
      </c>
      <c r="E240" s="24">
        <v>42024</v>
      </c>
      <c r="F240"/>
    </row>
    <row r="241" spans="2:6" x14ac:dyDescent="0.25">
      <c r="B241" s="7" t="s">
        <v>199</v>
      </c>
      <c r="C241" s="7" t="s">
        <v>175</v>
      </c>
      <c r="D241" s="7" t="s">
        <v>167</v>
      </c>
      <c r="E241" s="24">
        <v>2100</v>
      </c>
      <c r="F241"/>
    </row>
    <row r="242" spans="2:6" x14ac:dyDescent="0.25">
      <c r="B242" s="7" t="s">
        <v>199</v>
      </c>
      <c r="C242" s="7" t="s">
        <v>176</v>
      </c>
      <c r="D242" s="7" t="s">
        <v>164</v>
      </c>
      <c r="E242" s="24">
        <v>2856</v>
      </c>
      <c r="F242"/>
    </row>
    <row r="243" spans="2:6" x14ac:dyDescent="0.25">
      <c r="B243" s="7" t="s">
        <v>199</v>
      </c>
      <c r="C243" s="7" t="s">
        <v>195</v>
      </c>
      <c r="D243" s="7" t="s">
        <v>162</v>
      </c>
      <c r="E243" s="24">
        <v>1331</v>
      </c>
      <c r="F243"/>
    </row>
    <row r="244" spans="2:6" x14ac:dyDescent="0.25">
      <c r="B244" s="7" t="s">
        <v>199</v>
      </c>
      <c r="C244" s="7" t="s">
        <v>183</v>
      </c>
      <c r="D244" s="7" t="s">
        <v>167</v>
      </c>
      <c r="E244" s="24">
        <v>9796</v>
      </c>
      <c r="F244"/>
    </row>
    <row r="245" spans="2:6" x14ac:dyDescent="0.25">
      <c r="B245" s="7" t="s">
        <v>199</v>
      </c>
      <c r="C245" s="7" t="s">
        <v>177</v>
      </c>
      <c r="D245" s="7" t="s">
        <v>173</v>
      </c>
      <c r="E245" s="24">
        <v>6206</v>
      </c>
      <c r="F245"/>
    </row>
    <row r="246" spans="2:6" x14ac:dyDescent="0.25">
      <c r="B246" s="7" t="s">
        <v>199</v>
      </c>
      <c r="C246" s="7" t="s">
        <v>178</v>
      </c>
      <c r="D246" s="7" t="s">
        <v>173</v>
      </c>
      <c r="E246" s="24">
        <v>1853</v>
      </c>
      <c r="F246"/>
    </row>
    <row r="247" spans="2:6" x14ac:dyDescent="0.25">
      <c r="B247" s="7" t="s">
        <v>199</v>
      </c>
      <c r="C247" s="7" t="s">
        <v>179</v>
      </c>
      <c r="D247" s="7" t="s">
        <v>164</v>
      </c>
      <c r="E247" s="24">
        <v>8568</v>
      </c>
      <c r="F247"/>
    </row>
    <row r="248" spans="2:6" x14ac:dyDescent="0.25">
      <c r="B248" s="7" t="s">
        <v>199</v>
      </c>
      <c r="C248" s="7" t="s">
        <v>180</v>
      </c>
      <c r="D248" s="7" t="s">
        <v>167</v>
      </c>
      <c r="E248" s="24">
        <v>5580</v>
      </c>
      <c r="F248"/>
    </row>
    <row r="249" spans="2:6" x14ac:dyDescent="0.25">
      <c r="B249" s="7" t="s">
        <v>199</v>
      </c>
      <c r="C249" s="7" t="s">
        <v>186</v>
      </c>
      <c r="D249" s="7" t="s">
        <v>167</v>
      </c>
      <c r="E249" s="24">
        <v>10925</v>
      </c>
      <c r="F249"/>
    </row>
    <row r="250" spans="2:6" x14ac:dyDescent="0.25">
      <c r="B250" s="7" t="s">
        <v>199</v>
      </c>
      <c r="C250" s="7" t="s">
        <v>182</v>
      </c>
      <c r="D250" s="7" t="s">
        <v>162</v>
      </c>
      <c r="E250" s="24">
        <v>1150</v>
      </c>
      <c r="F250"/>
    </row>
    <row r="251" spans="2:6" x14ac:dyDescent="0.25">
      <c r="B251" s="7" t="s">
        <v>199</v>
      </c>
      <c r="C251" s="7" t="s">
        <v>185</v>
      </c>
      <c r="D251" s="7" t="s">
        <v>164</v>
      </c>
      <c r="E251" s="24">
        <v>5312</v>
      </c>
      <c r="F251"/>
    </row>
    <row r="252" spans="2:6" x14ac:dyDescent="0.25">
      <c r="B252" s="7" t="s">
        <v>199</v>
      </c>
      <c r="C252" s="7" t="s">
        <v>158</v>
      </c>
      <c r="D252" s="7" t="s">
        <v>159</v>
      </c>
      <c r="E252" s="24">
        <v>19093</v>
      </c>
      <c r="F252"/>
    </row>
    <row r="253" spans="2:6" x14ac:dyDescent="0.25">
      <c r="B253" s="7" t="s">
        <v>199</v>
      </c>
      <c r="C253" s="7" t="s">
        <v>160</v>
      </c>
      <c r="D253" s="7" t="s">
        <v>159</v>
      </c>
      <c r="E253" s="24">
        <v>4148</v>
      </c>
      <c r="F253"/>
    </row>
    <row r="254" spans="2:6" x14ac:dyDescent="0.25">
      <c r="B254" s="7" t="s">
        <v>199</v>
      </c>
      <c r="C254" s="7" t="s">
        <v>192</v>
      </c>
      <c r="D254" s="7" t="s">
        <v>173</v>
      </c>
      <c r="E254" s="24">
        <v>81699</v>
      </c>
      <c r="F254"/>
    </row>
    <row r="255" spans="2:6" x14ac:dyDescent="0.25">
      <c r="B255" s="7" t="s">
        <v>199</v>
      </c>
      <c r="C255" s="7" t="s">
        <v>165</v>
      </c>
      <c r="D255" s="7" t="s">
        <v>162</v>
      </c>
      <c r="E255" s="24">
        <v>3030</v>
      </c>
      <c r="F255"/>
    </row>
    <row r="256" spans="2:6" x14ac:dyDescent="0.25">
      <c r="B256" s="7" t="s">
        <v>199</v>
      </c>
      <c r="C256" s="7" t="s">
        <v>166</v>
      </c>
      <c r="D256" s="7" t="s">
        <v>167</v>
      </c>
      <c r="E256" s="24">
        <v>5032</v>
      </c>
      <c r="F256"/>
    </row>
    <row r="257" spans="2:6" x14ac:dyDescent="0.25">
      <c r="B257" s="7" t="s">
        <v>199</v>
      </c>
      <c r="C257" s="7" t="s">
        <v>168</v>
      </c>
      <c r="D257" s="7" t="s">
        <v>164</v>
      </c>
      <c r="E257" s="24">
        <v>24100</v>
      </c>
      <c r="F257"/>
    </row>
    <row r="258" spans="2:6" x14ac:dyDescent="0.25">
      <c r="B258" s="7" t="s">
        <v>199</v>
      </c>
      <c r="C258" s="7" t="s">
        <v>169</v>
      </c>
      <c r="D258" s="7" t="s">
        <v>159</v>
      </c>
      <c r="E258" s="24">
        <v>3324.9999999999995</v>
      </c>
      <c r="F258"/>
    </row>
    <row r="259" spans="2:6" x14ac:dyDescent="0.25">
      <c r="B259" s="7" t="s">
        <v>199</v>
      </c>
      <c r="C259" s="7" t="s">
        <v>170</v>
      </c>
      <c r="D259" s="7" t="s">
        <v>159</v>
      </c>
      <c r="E259" s="24">
        <v>1535</v>
      </c>
      <c r="F259"/>
    </row>
    <row r="260" spans="2:6" x14ac:dyDescent="0.25">
      <c r="B260" s="7" t="s">
        <v>199</v>
      </c>
      <c r="C260" s="7" t="s">
        <v>193</v>
      </c>
      <c r="D260" s="7" t="s">
        <v>173</v>
      </c>
      <c r="E260" s="24">
        <v>3072</v>
      </c>
      <c r="F260"/>
    </row>
    <row r="261" spans="2:6" x14ac:dyDescent="0.25">
      <c r="B261" s="7" t="s">
        <v>199</v>
      </c>
      <c r="C261" s="7" t="s">
        <v>196</v>
      </c>
      <c r="D261" s="7" t="s">
        <v>167</v>
      </c>
      <c r="E261" s="24">
        <v>1394</v>
      </c>
      <c r="F261"/>
    </row>
    <row r="262" spans="2:6" x14ac:dyDescent="0.25">
      <c r="B262" s="7" t="s">
        <v>199</v>
      </c>
      <c r="C262" s="7" t="s">
        <v>191</v>
      </c>
      <c r="D262" s="7" t="s">
        <v>162</v>
      </c>
      <c r="E262" s="24">
        <v>2201</v>
      </c>
      <c r="F262"/>
    </row>
    <row r="263" spans="2:6" x14ac:dyDescent="0.25">
      <c r="B263" s="7" t="s">
        <v>199</v>
      </c>
      <c r="C263" s="7" t="s">
        <v>171</v>
      </c>
      <c r="D263" s="7" t="s">
        <v>164</v>
      </c>
      <c r="E263" s="24">
        <v>12636</v>
      </c>
      <c r="F263"/>
    </row>
    <row r="264" spans="2:6" x14ac:dyDescent="0.25">
      <c r="B264" s="7" t="s">
        <v>199</v>
      </c>
      <c r="C264" s="7" t="s">
        <v>184</v>
      </c>
      <c r="D264" s="7" t="s">
        <v>159</v>
      </c>
      <c r="E264" s="24">
        <v>223.99999999999997</v>
      </c>
      <c r="F264"/>
    </row>
    <row r="265" spans="2:6" x14ac:dyDescent="0.25">
      <c r="B265" s="7" t="s">
        <v>199</v>
      </c>
      <c r="C265" s="7" t="s">
        <v>172</v>
      </c>
      <c r="D265" s="7" t="s">
        <v>173</v>
      </c>
      <c r="E265" s="24">
        <v>9676</v>
      </c>
      <c r="F265"/>
    </row>
    <row r="266" spans="2:6" x14ac:dyDescent="0.25">
      <c r="B266" s="7" t="s">
        <v>199</v>
      </c>
      <c r="C266" s="7" t="s">
        <v>194</v>
      </c>
      <c r="D266" s="7" t="s">
        <v>173</v>
      </c>
      <c r="E266" s="24">
        <v>30396</v>
      </c>
      <c r="F266"/>
    </row>
    <row r="267" spans="2:6" x14ac:dyDescent="0.25">
      <c r="B267" s="7" t="s">
        <v>199</v>
      </c>
      <c r="C267" s="7" t="s">
        <v>175</v>
      </c>
      <c r="D267" s="7" t="s">
        <v>167</v>
      </c>
      <c r="E267" s="24">
        <v>7560</v>
      </c>
      <c r="F267"/>
    </row>
    <row r="268" spans="2:6" x14ac:dyDescent="0.25">
      <c r="B268" s="7" t="s">
        <v>199</v>
      </c>
      <c r="C268" s="7" t="s">
        <v>195</v>
      </c>
      <c r="D268" s="7" t="s">
        <v>162</v>
      </c>
      <c r="E268" s="24">
        <v>1694.0000000000002</v>
      </c>
      <c r="F268"/>
    </row>
    <row r="269" spans="2:6" x14ac:dyDescent="0.25">
      <c r="B269" s="7" t="s">
        <v>199</v>
      </c>
      <c r="C269" s="7" t="s">
        <v>183</v>
      </c>
      <c r="D269" s="7" t="s">
        <v>167</v>
      </c>
      <c r="E269" s="24">
        <v>18644</v>
      </c>
      <c r="F269"/>
    </row>
    <row r="270" spans="2:6" x14ac:dyDescent="0.25">
      <c r="B270" s="7" t="s">
        <v>199</v>
      </c>
      <c r="C270" s="7" t="s">
        <v>177</v>
      </c>
      <c r="D270" s="7" t="s">
        <v>173</v>
      </c>
      <c r="E270" s="24">
        <v>12412</v>
      </c>
      <c r="F270"/>
    </row>
    <row r="271" spans="2:6" x14ac:dyDescent="0.25">
      <c r="B271" s="7" t="s">
        <v>199</v>
      </c>
      <c r="C271" s="7" t="s">
        <v>178</v>
      </c>
      <c r="D271" s="7" t="s">
        <v>173</v>
      </c>
      <c r="E271" s="24">
        <v>4469</v>
      </c>
      <c r="F271"/>
    </row>
    <row r="272" spans="2:6" x14ac:dyDescent="0.25">
      <c r="B272" s="7" t="s">
        <v>199</v>
      </c>
      <c r="C272" s="7" t="s">
        <v>179</v>
      </c>
      <c r="D272" s="7" t="s">
        <v>164</v>
      </c>
      <c r="E272" s="24">
        <v>7344</v>
      </c>
      <c r="F272"/>
    </row>
    <row r="273" spans="2:6" x14ac:dyDescent="0.25">
      <c r="B273" s="7" t="s">
        <v>199</v>
      </c>
      <c r="C273" s="7" t="s">
        <v>180</v>
      </c>
      <c r="D273" s="7" t="s">
        <v>167</v>
      </c>
      <c r="E273" s="24">
        <v>6120</v>
      </c>
      <c r="F273"/>
    </row>
    <row r="274" spans="2:6" x14ac:dyDescent="0.25">
      <c r="B274" s="7" t="s">
        <v>199</v>
      </c>
      <c r="C274" s="7" t="s">
        <v>158</v>
      </c>
      <c r="D274" s="7" t="s">
        <v>159</v>
      </c>
      <c r="E274" s="24">
        <v>46950</v>
      </c>
      <c r="F274"/>
    </row>
    <row r="275" spans="2:6" x14ac:dyDescent="0.25">
      <c r="B275" s="7" t="s">
        <v>199</v>
      </c>
      <c r="C275" s="7" t="s">
        <v>160</v>
      </c>
      <c r="D275" s="7" t="s">
        <v>159</v>
      </c>
      <c r="E275" s="24">
        <v>1700</v>
      </c>
      <c r="F275"/>
    </row>
    <row r="276" spans="2:6" x14ac:dyDescent="0.25">
      <c r="B276" s="7" t="s">
        <v>199</v>
      </c>
      <c r="C276" s="7" t="s">
        <v>192</v>
      </c>
      <c r="D276" s="7" t="s">
        <v>173</v>
      </c>
      <c r="E276" s="24">
        <v>111531</v>
      </c>
      <c r="F276"/>
    </row>
    <row r="277" spans="2:6" x14ac:dyDescent="0.25">
      <c r="B277" s="7" t="s">
        <v>199</v>
      </c>
      <c r="C277" s="7" t="s">
        <v>165</v>
      </c>
      <c r="D277" s="7" t="s">
        <v>162</v>
      </c>
      <c r="E277" s="24">
        <v>9696</v>
      </c>
      <c r="F277"/>
    </row>
    <row r="278" spans="2:6" x14ac:dyDescent="0.25">
      <c r="B278" s="7" t="s">
        <v>199</v>
      </c>
      <c r="C278" s="7" t="s">
        <v>166</v>
      </c>
      <c r="D278" s="7" t="s">
        <v>167</v>
      </c>
      <c r="E278" s="24">
        <v>10508</v>
      </c>
      <c r="F278"/>
    </row>
    <row r="279" spans="2:6" x14ac:dyDescent="0.25">
      <c r="B279" s="7" t="s">
        <v>199</v>
      </c>
      <c r="C279" s="7" t="s">
        <v>168</v>
      </c>
      <c r="D279" s="7" t="s">
        <v>164</v>
      </c>
      <c r="E279" s="24">
        <v>64588</v>
      </c>
      <c r="F279"/>
    </row>
    <row r="280" spans="2:6" x14ac:dyDescent="0.25">
      <c r="B280" s="7" t="s">
        <v>199</v>
      </c>
      <c r="C280" s="7" t="s">
        <v>169</v>
      </c>
      <c r="D280" s="7" t="s">
        <v>159</v>
      </c>
      <c r="E280" s="24">
        <v>19817</v>
      </c>
      <c r="F280"/>
    </row>
    <row r="281" spans="2:6" x14ac:dyDescent="0.25">
      <c r="B281" s="7" t="s">
        <v>199</v>
      </c>
      <c r="C281" s="7" t="s">
        <v>170</v>
      </c>
      <c r="D281" s="7" t="s">
        <v>159</v>
      </c>
      <c r="E281" s="24">
        <v>35612</v>
      </c>
      <c r="F281"/>
    </row>
    <row r="282" spans="2:6" x14ac:dyDescent="0.25">
      <c r="B282" s="7" t="s">
        <v>199</v>
      </c>
      <c r="C282" s="7" t="s">
        <v>193</v>
      </c>
      <c r="D282" s="7" t="s">
        <v>173</v>
      </c>
      <c r="E282" s="24">
        <v>5056</v>
      </c>
      <c r="F282"/>
    </row>
    <row r="283" spans="2:6" x14ac:dyDescent="0.25">
      <c r="B283" s="7" t="s">
        <v>199</v>
      </c>
      <c r="C283" s="7" t="s">
        <v>196</v>
      </c>
      <c r="D283" s="7" t="s">
        <v>167</v>
      </c>
      <c r="E283" s="24">
        <v>2460</v>
      </c>
      <c r="F283"/>
    </row>
    <row r="284" spans="2:6" x14ac:dyDescent="0.25">
      <c r="B284" s="7" t="s">
        <v>199</v>
      </c>
      <c r="C284" s="7" t="s">
        <v>171</v>
      </c>
      <c r="D284" s="7" t="s">
        <v>164</v>
      </c>
      <c r="E284" s="24">
        <v>33345</v>
      </c>
      <c r="F284"/>
    </row>
    <row r="285" spans="2:6" x14ac:dyDescent="0.25">
      <c r="B285" s="7" t="s">
        <v>199</v>
      </c>
      <c r="C285" s="7" t="s">
        <v>184</v>
      </c>
      <c r="D285" s="7" t="s">
        <v>159</v>
      </c>
      <c r="E285" s="24">
        <v>895.99999999999989</v>
      </c>
      <c r="F285"/>
    </row>
    <row r="286" spans="2:6" x14ac:dyDescent="0.25">
      <c r="B286" s="7" t="s">
        <v>199</v>
      </c>
      <c r="C286" s="7" t="s">
        <v>189</v>
      </c>
      <c r="D286" s="7" t="s">
        <v>164</v>
      </c>
      <c r="E286" s="24">
        <v>461.99999999999994</v>
      </c>
      <c r="F286"/>
    </row>
    <row r="287" spans="2:6" x14ac:dyDescent="0.25">
      <c r="B287" s="7" t="s">
        <v>199</v>
      </c>
      <c r="C287" s="7" t="s">
        <v>172</v>
      </c>
      <c r="D287" s="7" t="s">
        <v>173</v>
      </c>
      <c r="E287" s="24">
        <v>3304</v>
      </c>
      <c r="F287"/>
    </row>
    <row r="288" spans="2:6" x14ac:dyDescent="0.25">
      <c r="B288" s="7" t="s">
        <v>199</v>
      </c>
      <c r="C288" s="7" t="s">
        <v>174</v>
      </c>
      <c r="D288" s="7" t="s">
        <v>159</v>
      </c>
      <c r="E288" s="24">
        <v>28116</v>
      </c>
      <c r="F288"/>
    </row>
    <row r="289" spans="2:6" x14ac:dyDescent="0.25">
      <c r="B289" s="7" t="s">
        <v>199</v>
      </c>
      <c r="C289" s="7" t="s">
        <v>194</v>
      </c>
      <c r="D289" s="7" t="s">
        <v>173</v>
      </c>
      <c r="E289" s="24">
        <v>58344</v>
      </c>
      <c r="F289"/>
    </row>
    <row r="290" spans="2:6" x14ac:dyDescent="0.25">
      <c r="B290" s="7" t="s">
        <v>199</v>
      </c>
      <c r="C290" s="7" t="s">
        <v>183</v>
      </c>
      <c r="D290" s="7" t="s">
        <v>167</v>
      </c>
      <c r="E290" s="24">
        <v>8216</v>
      </c>
      <c r="F290"/>
    </row>
    <row r="291" spans="2:6" x14ac:dyDescent="0.25">
      <c r="B291" s="7" t="s">
        <v>199</v>
      </c>
      <c r="C291" s="7" t="s">
        <v>177</v>
      </c>
      <c r="D291" s="7" t="s">
        <v>173</v>
      </c>
      <c r="E291" s="24">
        <v>26215</v>
      </c>
      <c r="F291"/>
    </row>
    <row r="292" spans="2:6" x14ac:dyDescent="0.25">
      <c r="B292" s="7" t="s">
        <v>199</v>
      </c>
      <c r="C292" s="7" t="s">
        <v>188</v>
      </c>
      <c r="D292" s="7" t="s">
        <v>173</v>
      </c>
      <c r="E292" s="24">
        <v>5952</v>
      </c>
      <c r="F292"/>
    </row>
    <row r="293" spans="2:6" x14ac:dyDescent="0.25">
      <c r="B293" s="7" t="s">
        <v>199</v>
      </c>
      <c r="C293" s="7" t="s">
        <v>178</v>
      </c>
      <c r="D293" s="7" t="s">
        <v>173</v>
      </c>
      <c r="E293" s="24">
        <v>5995</v>
      </c>
      <c r="F293"/>
    </row>
    <row r="294" spans="2:6" x14ac:dyDescent="0.25">
      <c r="B294" s="7" t="s">
        <v>199</v>
      </c>
      <c r="C294" s="7" t="s">
        <v>190</v>
      </c>
      <c r="D294" s="7" t="s">
        <v>162</v>
      </c>
      <c r="E294" s="24">
        <v>336</v>
      </c>
      <c r="F294"/>
    </row>
    <row r="295" spans="2:6" x14ac:dyDescent="0.25">
      <c r="B295" s="7" t="s">
        <v>199</v>
      </c>
      <c r="C295" s="7" t="s">
        <v>179</v>
      </c>
      <c r="D295" s="7" t="s">
        <v>164</v>
      </c>
      <c r="E295" s="24">
        <v>9792</v>
      </c>
      <c r="F295"/>
    </row>
    <row r="296" spans="2:6" x14ac:dyDescent="0.25">
      <c r="B296" s="7" t="s">
        <v>199</v>
      </c>
      <c r="C296" s="7" t="s">
        <v>180</v>
      </c>
      <c r="D296" s="7" t="s">
        <v>167</v>
      </c>
      <c r="E296" s="24">
        <v>13680</v>
      </c>
      <c r="F296"/>
    </row>
    <row r="297" spans="2:6" x14ac:dyDescent="0.25">
      <c r="B297" s="7" t="s">
        <v>199</v>
      </c>
      <c r="C297" s="7" t="s">
        <v>181</v>
      </c>
      <c r="D297" s="7" t="s">
        <v>159</v>
      </c>
      <c r="E297" s="24">
        <v>3808</v>
      </c>
      <c r="F297"/>
    </row>
    <row r="298" spans="2:6" x14ac:dyDescent="0.25">
      <c r="B298" s="7" t="s">
        <v>199</v>
      </c>
      <c r="C298" s="7" t="s">
        <v>182</v>
      </c>
      <c r="D298" s="7" t="s">
        <v>162</v>
      </c>
      <c r="E298" s="24">
        <v>14720.000000000002</v>
      </c>
      <c r="F298"/>
    </row>
    <row r="299" spans="2:6" x14ac:dyDescent="0.25">
      <c r="B299" s="7" t="s">
        <v>200</v>
      </c>
      <c r="C299" s="7" t="s">
        <v>158</v>
      </c>
      <c r="D299" s="7" t="s">
        <v>159</v>
      </c>
      <c r="E299" s="24">
        <v>29735</v>
      </c>
      <c r="F299"/>
    </row>
    <row r="300" spans="2:6" x14ac:dyDescent="0.25">
      <c r="B300" s="7" t="s">
        <v>200</v>
      </c>
      <c r="C300" s="7" t="s">
        <v>160</v>
      </c>
      <c r="D300" s="7" t="s">
        <v>159</v>
      </c>
      <c r="E300" s="24">
        <v>1564</v>
      </c>
      <c r="F300"/>
    </row>
    <row r="301" spans="2:6" x14ac:dyDescent="0.25">
      <c r="B301" s="7" t="s">
        <v>200</v>
      </c>
      <c r="C301" s="7" t="s">
        <v>192</v>
      </c>
      <c r="D301" s="7" t="s">
        <v>173</v>
      </c>
      <c r="E301" s="24">
        <v>32883</v>
      </c>
      <c r="F301"/>
    </row>
    <row r="302" spans="2:6" x14ac:dyDescent="0.25">
      <c r="B302" s="7" t="s">
        <v>200</v>
      </c>
      <c r="C302" s="7" t="s">
        <v>165</v>
      </c>
      <c r="D302" s="7" t="s">
        <v>162</v>
      </c>
      <c r="E302" s="24">
        <v>5656</v>
      </c>
      <c r="F302"/>
    </row>
    <row r="303" spans="2:6" x14ac:dyDescent="0.25">
      <c r="B303" s="7" t="s">
        <v>200</v>
      </c>
      <c r="C303" s="7" t="s">
        <v>166</v>
      </c>
      <c r="D303" s="7" t="s">
        <v>167</v>
      </c>
      <c r="E303" s="24">
        <v>2072</v>
      </c>
      <c r="F303"/>
    </row>
    <row r="304" spans="2:6" x14ac:dyDescent="0.25">
      <c r="B304" s="7" t="s">
        <v>200</v>
      </c>
      <c r="C304" s="7" t="s">
        <v>168</v>
      </c>
      <c r="D304" s="7" t="s">
        <v>164</v>
      </c>
      <c r="E304" s="24">
        <v>152312</v>
      </c>
      <c r="F304"/>
    </row>
    <row r="305" spans="2:6" x14ac:dyDescent="0.25">
      <c r="B305" s="7" t="s">
        <v>200</v>
      </c>
      <c r="C305" s="7" t="s">
        <v>169</v>
      </c>
      <c r="D305" s="7" t="s">
        <v>159</v>
      </c>
      <c r="E305" s="24">
        <v>14230.999999999998</v>
      </c>
      <c r="F305"/>
    </row>
    <row r="306" spans="2:6" x14ac:dyDescent="0.25">
      <c r="B306" s="7" t="s">
        <v>200</v>
      </c>
      <c r="C306" s="7" t="s">
        <v>170</v>
      </c>
      <c r="D306" s="7" t="s">
        <v>159</v>
      </c>
      <c r="E306" s="24">
        <v>10438</v>
      </c>
      <c r="F306"/>
    </row>
    <row r="307" spans="2:6" x14ac:dyDescent="0.25">
      <c r="B307" s="7" t="s">
        <v>200</v>
      </c>
      <c r="C307" s="7" t="s">
        <v>193</v>
      </c>
      <c r="D307" s="7" t="s">
        <v>173</v>
      </c>
      <c r="E307" s="24">
        <v>7936</v>
      </c>
      <c r="F307"/>
    </row>
    <row r="308" spans="2:6" x14ac:dyDescent="0.25">
      <c r="B308" s="7" t="s">
        <v>200</v>
      </c>
      <c r="C308" s="7" t="s">
        <v>196</v>
      </c>
      <c r="D308" s="7" t="s">
        <v>167</v>
      </c>
      <c r="E308" s="24">
        <v>410</v>
      </c>
      <c r="F308"/>
    </row>
    <row r="309" spans="2:6" x14ac:dyDescent="0.25">
      <c r="B309" s="7" t="s">
        <v>200</v>
      </c>
      <c r="C309" s="7" t="s">
        <v>191</v>
      </c>
      <c r="D309" s="7" t="s">
        <v>162</v>
      </c>
      <c r="E309" s="24">
        <v>2272</v>
      </c>
      <c r="F309"/>
    </row>
    <row r="310" spans="2:6" x14ac:dyDescent="0.25">
      <c r="B310" s="7" t="s">
        <v>200</v>
      </c>
      <c r="C310" s="7" t="s">
        <v>171</v>
      </c>
      <c r="D310" s="7" t="s">
        <v>164</v>
      </c>
      <c r="E310" s="24">
        <v>16848</v>
      </c>
      <c r="F310"/>
    </row>
    <row r="311" spans="2:6" x14ac:dyDescent="0.25">
      <c r="B311" s="7" t="s">
        <v>200</v>
      </c>
      <c r="C311" s="7" t="s">
        <v>184</v>
      </c>
      <c r="D311" s="7" t="s">
        <v>159</v>
      </c>
      <c r="E311" s="24">
        <v>1064</v>
      </c>
      <c r="F311"/>
    </row>
    <row r="312" spans="2:6" x14ac:dyDescent="0.25">
      <c r="B312" s="7" t="s">
        <v>200</v>
      </c>
      <c r="C312" s="7" t="s">
        <v>174</v>
      </c>
      <c r="D312" s="7" t="s">
        <v>159</v>
      </c>
      <c r="E312" s="24">
        <v>20874</v>
      </c>
      <c r="F312"/>
    </row>
    <row r="313" spans="2:6" x14ac:dyDescent="0.25">
      <c r="B313" s="7" t="s">
        <v>200</v>
      </c>
      <c r="C313" s="7" t="s">
        <v>194</v>
      </c>
      <c r="D313" s="7" t="s">
        <v>173</v>
      </c>
      <c r="E313" s="24">
        <v>54672</v>
      </c>
      <c r="F313"/>
    </row>
    <row r="314" spans="2:6" x14ac:dyDescent="0.25">
      <c r="B314" s="7" t="s">
        <v>200</v>
      </c>
      <c r="C314" s="7" t="s">
        <v>175</v>
      </c>
      <c r="D314" s="7" t="s">
        <v>167</v>
      </c>
      <c r="E314" s="24">
        <v>10080</v>
      </c>
      <c r="F314"/>
    </row>
    <row r="315" spans="2:6" x14ac:dyDescent="0.25">
      <c r="B315" s="7" t="s">
        <v>200</v>
      </c>
      <c r="C315" s="7" t="s">
        <v>195</v>
      </c>
      <c r="D315" s="7" t="s">
        <v>162</v>
      </c>
      <c r="E315" s="24">
        <v>9438</v>
      </c>
      <c r="F315"/>
    </row>
    <row r="316" spans="2:6" x14ac:dyDescent="0.25">
      <c r="B316" s="7" t="s">
        <v>200</v>
      </c>
      <c r="C316" s="7" t="s">
        <v>183</v>
      </c>
      <c r="D316" s="7" t="s">
        <v>167</v>
      </c>
      <c r="E316" s="24">
        <v>5688</v>
      </c>
      <c r="F316"/>
    </row>
    <row r="317" spans="2:6" x14ac:dyDescent="0.25">
      <c r="B317" s="7" t="s">
        <v>200</v>
      </c>
      <c r="C317" s="7" t="s">
        <v>177</v>
      </c>
      <c r="D317" s="7" t="s">
        <v>173</v>
      </c>
      <c r="E317" s="24">
        <v>27606</v>
      </c>
      <c r="F317"/>
    </row>
    <row r="318" spans="2:6" x14ac:dyDescent="0.25">
      <c r="B318" s="7" t="s">
        <v>200</v>
      </c>
      <c r="C318" s="7" t="s">
        <v>188</v>
      </c>
      <c r="D318" s="7" t="s">
        <v>173</v>
      </c>
      <c r="E318" s="24">
        <v>4216</v>
      </c>
      <c r="F318"/>
    </row>
    <row r="319" spans="2:6" x14ac:dyDescent="0.25">
      <c r="B319" s="7" t="s">
        <v>200</v>
      </c>
      <c r="C319" s="7" t="s">
        <v>178</v>
      </c>
      <c r="D319" s="7" t="s">
        <v>173</v>
      </c>
      <c r="E319" s="24">
        <v>1090</v>
      </c>
      <c r="F319"/>
    </row>
    <row r="320" spans="2:6" x14ac:dyDescent="0.25">
      <c r="B320" s="7" t="s">
        <v>200</v>
      </c>
      <c r="C320" s="7" t="s">
        <v>179</v>
      </c>
      <c r="D320" s="7" t="s">
        <v>164</v>
      </c>
      <c r="E320" s="24">
        <v>3162</v>
      </c>
      <c r="F320"/>
    </row>
    <row r="321" spans="2:6" x14ac:dyDescent="0.25">
      <c r="B321" s="7" t="s">
        <v>200</v>
      </c>
      <c r="C321" s="7" t="s">
        <v>180</v>
      </c>
      <c r="D321" s="7" t="s">
        <v>167</v>
      </c>
      <c r="E321" s="24">
        <v>12240</v>
      </c>
      <c r="F321"/>
    </row>
    <row r="322" spans="2:6" x14ac:dyDescent="0.25">
      <c r="B322" s="7" t="s">
        <v>200</v>
      </c>
      <c r="C322" s="7" t="s">
        <v>181</v>
      </c>
      <c r="D322" s="7" t="s">
        <v>159</v>
      </c>
      <c r="E322" s="24">
        <v>10948</v>
      </c>
      <c r="F322"/>
    </row>
    <row r="323" spans="2:6" x14ac:dyDescent="0.25">
      <c r="B323" s="7" t="s">
        <v>200</v>
      </c>
      <c r="C323" s="7" t="s">
        <v>185</v>
      </c>
      <c r="D323" s="7" t="s">
        <v>164</v>
      </c>
      <c r="E323" s="24">
        <v>2822</v>
      </c>
      <c r="F323"/>
    </row>
    <row r="324" spans="2:6" x14ac:dyDescent="0.25">
      <c r="B324" s="7" t="s">
        <v>200</v>
      </c>
      <c r="C324" s="7" t="s">
        <v>158</v>
      </c>
      <c r="D324" s="7" t="s">
        <v>159</v>
      </c>
      <c r="E324" s="24">
        <v>39125</v>
      </c>
      <c r="F324"/>
    </row>
    <row r="325" spans="2:6" x14ac:dyDescent="0.25">
      <c r="B325" s="7" t="s">
        <v>200</v>
      </c>
      <c r="C325" s="7" t="s">
        <v>160</v>
      </c>
      <c r="D325" s="7" t="s">
        <v>159</v>
      </c>
      <c r="E325" s="24">
        <v>5236</v>
      </c>
      <c r="F325"/>
    </row>
    <row r="326" spans="2:6" x14ac:dyDescent="0.25">
      <c r="B326" s="7" t="s">
        <v>200</v>
      </c>
      <c r="C326" s="7" t="s">
        <v>192</v>
      </c>
      <c r="D326" s="7" t="s">
        <v>173</v>
      </c>
      <c r="E326" s="24">
        <v>89835</v>
      </c>
      <c r="F326"/>
    </row>
    <row r="327" spans="2:6" x14ac:dyDescent="0.25">
      <c r="B327" s="7" t="s">
        <v>200</v>
      </c>
      <c r="C327" s="7" t="s">
        <v>165</v>
      </c>
      <c r="D327" s="7" t="s">
        <v>162</v>
      </c>
      <c r="E327" s="24">
        <v>5656</v>
      </c>
      <c r="F327"/>
    </row>
    <row r="328" spans="2:6" x14ac:dyDescent="0.25">
      <c r="B328" s="7" t="s">
        <v>200</v>
      </c>
      <c r="C328" s="7" t="s">
        <v>166</v>
      </c>
      <c r="D328" s="7" t="s">
        <v>167</v>
      </c>
      <c r="E328" s="24">
        <v>6512</v>
      </c>
      <c r="F328"/>
    </row>
    <row r="329" spans="2:6" x14ac:dyDescent="0.25">
      <c r="B329" s="7" t="s">
        <v>200</v>
      </c>
      <c r="C329" s="7" t="s">
        <v>168</v>
      </c>
      <c r="D329" s="7" t="s">
        <v>164</v>
      </c>
      <c r="E329" s="24">
        <v>108932</v>
      </c>
      <c r="F329"/>
    </row>
    <row r="330" spans="2:6" x14ac:dyDescent="0.25">
      <c r="B330" s="7" t="s">
        <v>200</v>
      </c>
      <c r="C330" s="7" t="s">
        <v>169</v>
      </c>
      <c r="D330" s="7" t="s">
        <v>159</v>
      </c>
      <c r="E330" s="24">
        <v>15294.999999999998</v>
      </c>
      <c r="F330"/>
    </row>
    <row r="331" spans="2:6" x14ac:dyDescent="0.25">
      <c r="B331" s="7" t="s">
        <v>200</v>
      </c>
      <c r="C331" s="7" t="s">
        <v>170</v>
      </c>
      <c r="D331" s="7" t="s">
        <v>159</v>
      </c>
      <c r="E331" s="24">
        <v>9517</v>
      </c>
      <c r="F331"/>
    </row>
    <row r="332" spans="2:6" x14ac:dyDescent="0.25">
      <c r="B332" s="7" t="s">
        <v>200</v>
      </c>
      <c r="C332" s="7" t="s">
        <v>193</v>
      </c>
      <c r="D332" s="7" t="s">
        <v>173</v>
      </c>
      <c r="E332" s="24">
        <v>2624</v>
      </c>
      <c r="F332"/>
    </row>
    <row r="333" spans="2:6" x14ac:dyDescent="0.25">
      <c r="B333" s="7" t="s">
        <v>200</v>
      </c>
      <c r="C333" s="7" t="s">
        <v>196</v>
      </c>
      <c r="D333" s="7" t="s">
        <v>167</v>
      </c>
      <c r="E333" s="24">
        <v>4428</v>
      </c>
      <c r="F333"/>
    </row>
    <row r="334" spans="2:6" x14ac:dyDescent="0.25">
      <c r="B334" s="7" t="s">
        <v>200</v>
      </c>
      <c r="C334" s="7" t="s">
        <v>191</v>
      </c>
      <c r="D334" s="7" t="s">
        <v>162</v>
      </c>
      <c r="E334" s="24">
        <v>5893</v>
      </c>
      <c r="F334"/>
    </row>
    <row r="335" spans="2:6" x14ac:dyDescent="0.25">
      <c r="B335" s="7" t="s">
        <v>200</v>
      </c>
      <c r="C335" s="7" t="s">
        <v>171</v>
      </c>
      <c r="D335" s="7" t="s">
        <v>164</v>
      </c>
      <c r="E335" s="24">
        <v>13338</v>
      </c>
      <c r="F335"/>
    </row>
    <row r="336" spans="2:6" x14ac:dyDescent="0.25">
      <c r="B336" s="7" t="s">
        <v>200</v>
      </c>
      <c r="C336" s="7" t="s">
        <v>184</v>
      </c>
      <c r="D336" s="7" t="s">
        <v>159</v>
      </c>
      <c r="E336" s="24">
        <v>783.99999999999989</v>
      </c>
      <c r="F336"/>
    </row>
    <row r="337" spans="2:6" x14ac:dyDescent="0.25">
      <c r="B337" s="7" t="s">
        <v>200</v>
      </c>
      <c r="C337" s="7" t="s">
        <v>189</v>
      </c>
      <c r="D337" s="7" t="s">
        <v>164</v>
      </c>
      <c r="E337" s="24">
        <v>3234</v>
      </c>
      <c r="F337"/>
    </row>
    <row r="338" spans="2:6" x14ac:dyDescent="0.25">
      <c r="B338" s="7" t="s">
        <v>200</v>
      </c>
      <c r="C338" s="7" t="s">
        <v>172</v>
      </c>
      <c r="D338" s="7" t="s">
        <v>173</v>
      </c>
      <c r="E338" s="24">
        <v>6136</v>
      </c>
      <c r="F338"/>
    </row>
    <row r="339" spans="2:6" x14ac:dyDescent="0.25">
      <c r="B339" s="7" t="s">
        <v>200</v>
      </c>
      <c r="C339" s="7" t="s">
        <v>174</v>
      </c>
      <c r="D339" s="7" t="s">
        <v>159</v>
      </c>
      <c r="E339" s="24">
        <v>5538</v>
      </c>
      <c r="F339"/>
    </row>
    <row r="340" spans="2:6" x14ac:dyDescent="0.25">
      <c r="B340" s="7" t="s">
        <v>200</v>
      </c>
      <c r="C340" s="7" t="s">
        <v>194</v>
      </c>
      <c r="D340" s="7" t="s">
        <v>173</v>
      </c>
      <c r="E340" s="24">
        <v>37536</v>
      </c>
      <c r="F340"/>
    </row>
    <row r="341" spans="2:6" x14ac:dyDescent="0.25">
      <c r="B341" s="7" t="s">
        <v>200</v>
      </c>
      <c r="C341" s="7" t="s">
        <v>195</v>
      </c>
      <c r="D341" s="7" t="s">
        <v>162</v>
      </c>
      <c r="E341" s="24">
        <v>3388.0000000000005</v>
      </c>
      <c r="F341"/>
    </row>
    <row r="342" spans="2:6" x14ac:dyDescent="0.25">
      <c r="B342" s="7" t="s">
        <v>200</v>
      </c>
      <c r="C342" s="7" t="s">
        <v>183</v>
      </c>
      <c r="D342" s="7" t="s">
        <v>167</v>
      </c>
      <c r="E342" s="24">
        <v>38552</v>
      </c>
      <c r="F342"/>
    </row>
    <row r="343" spans="2:6" x14ac:dyDescent="0.25">
      <c r="B343" s="7" t="s">
        <v>200</v>
      </c>
      <c r="C343" s="7" t="s">
        <v>177</v>
      </c>
      <c r="D343" s="7" t="s">
        <v>173</v>
      </c>
      <c r="E343" s="24">
        <v>14873</v>
      </c>
      <c r="F343"/>
    </row>
    <row r="344" spans="2:6" x14ac:dyDescent="0.25">
      <c r="B344" s="7" t="s">
        <v>200</v>
      </c>
      <c r="C344" s="7" t="s">
        <v>178</v>
      </c>
      <c r="D344" s="7" t="s">
        <v>173</v>
      </c>
      <c r="E344" s="24">
        <v>5232</v>
      </c>
      <c r="F344"/>
    </row>
    <row r="345" spans="2:6" x14ac:dyDescent="0.25">
      <c r="B345" s="7" t="s">
        <v>200</v>
      </c>
      <c r="C345" s="7" t="s">
        <v>179</v>
      </c>
      <c r="D345" s="7" t="s">
        <v>164</v>
      </c>
      <c r="E345" s="24">
        <v>5712</v>
      </c>
      <c r="F345"/>
    </row>
    <row r="346" spans="2:6" x14ac:dyDescent="0.25">
      <c r="B346" s="7" t="s">
        <v>200</v>
      </c>
      <c r="C346" s="7" t="s">
        <v>180</v>
      </c>
      <c r="D346" s="7" t="s">
        <v>167</v>
      </c>
      <c r="E346" s="24">
        <v>6480</v>
      </c>
      <c r="F346"/>
    </row>
    <row r="347" spans="2:6" x14ac:dyDescent="0.25">
      <c r="B347" s="7" t="s">
        <v>200</v>
      </c>
      <c r="C347" s="7" t="s">
        <v>158</v>
      </c>
      <c r="D347" s="7" t="s">
        <v>159</v>
      </c>
      <c r="E347" s="24">
        <v>26918</v>
      </c>
      <c r="F347"/>
    </row>
    <row r="348" spans="2:6" x14ac:dyDescent="0.25">
      <c r="B348" s="7" t="s">
        <v>200</v>
      </c>
      <c r="C348" s="7" t="s">
        <v>160</v>
      </c>
      <c r="D348" s="7" t="s">
        <v>159</v>
      </c>
      <c r="E348" s="24">
        <v>7684</v>
      </c>
      <c r="F348"/>
    </row>
    <row r="349" spans="2:6" x14ac:dyDescent="0.25">
      <c r="B349" s="7" t="s">
        <v>200</v>
      </c>
      <c r="C349" s="7" t="s">
        <v>192</v>
      </c>
      <c r="D349" s="7" t="s">
        <v>173</v>
      </c>
      <c r="E349" s="24">
        <v>64410</v>
      </c>
      <c r="F349"/>
    </row>
    <row r="350" spans="2:6" x14ac:dyDescent="0.25">
      <c r="B350" s="7" t="s">
        <v>200</v>
      </c>
      <c r="C350" s="7" t="s">
        <v>165</v>
      </c>
      <c r="D350" s="7" t="s">
        <v>162</v>
      </c>
      <c r="E350" s="24">
        <v>9494</v>
      </c>
      <c r="F350"/>
    </row>
    <row r="351" spans="2:6" x14ac:dyDescent="0.25">
      <c r="B351" s="7" t="s">
        <v>200</v>
      </c>
      <c r="C351" s="7" t="s">
        <v>166</v>
      </c>
      <c r="D351" s="7" t="s">
        <v>167</v>
      </c>
      <c r="E351" s="24">
        <v>18500</v>
      </c>
      <c r="F351"/>
    </row>
    <row r="352" spans="2:6" x14ac:dyDescent="0.25">
      <c r="B352" s="7" t="s">
        <v>200</v>
      </c>
      <c r="C352" s="7" t="s">
        <v>168</v>
      </c>
      <c r="D352" s="7" t="s">
        <v>164</v>
      </c>
      <c r="E352" s="24">
        <v>6748</v>
      </c>
      <c r="F352"/>
    </row>
    <row r="353" spans="2:6" x14ac:dyDescent="0.25">
      <c r="B353" s="7" t="s">
        <v>200</v>
      </c>
      <c r="C353" s="7" t="s">
        <v>169</v>
      </c>
      <c r="D353" s="7" t="s">
        <v>159</v>
      </c>
      <c r="E353" s="24">
        <v>11703.999999999998</v>
      </c>
      <c r="F353"/>
    </row>
    <row r="354" spans="2:6" x14ac:dyDescent="0.25">
      <c r="B354" s="7" t="s">
        <v>200</v>
      </c>
      <c r="C354" s="7" t="s">
        <v>170</v>
      </c>
      <c r="D354" s="7" t="s">
        <v>159</v>
      </c>
      <c r="E354" s="24">
        <v>38682</v>
      </c>
      <c r="F354"/>
    </row>
    <row r="355" spans="2:6" x14ac:dyDescent="0.25">
      <c r="B355" s="7" t="s">
        <v>200</v>
      </c>
      <c r="C355" s="7" t="s">
        <v>193</v>
      </c>
      <c r="D355" s="7" t="s">
        <v>173</v>
      </c>
      <c r="E355" s="24">
        <v>2688</v>
      </c>
      <c r="F355"/>
    </row>
    <row r="356" spans="2:6" x14ac:dyDescent="0.25">
      <c r="B356" s="7" t="s">
        <v>200</v>
      </c>
      <c r="C356" s="7" t="s">
        <v>196</v>
      </c>
      <c r="D356" s="7" t="s">
        <v>167</v>
      </c>
      <c r="E356" s="24">
        <v>4510</v>
      </c>
      <c r="F356"/>
    </row>
    <row r="357" spans="2:6" x14ac:dyDescent="0.25">
      <c r="B357" s="7" t="s">
        <v>200</v>
      </c>
      <c r="C357" s="7" t="s">
        <v>191</v>
      </c>
      <c r="D357" s="7" t="s">
        <v>162</v>
      </c>
      <c r="E357" s="24">
        <v>2698</v>
      </c>
      <c r="F357"/>
    </row>
    <row r="358" spans="2:6" x14ac:dyDescent="0.25">
      <c r="B358" s="7" t="s">
        <v>200</v>
      </c>
      <c r="C358" s="7" t="s">
        <v>171</v>
      </c>
      <c r="D358" s="7" t="s">
        <v>164</v>
      </c>
      <c r="E358" s="24">
        <v>33696</v>
      </c>
      <c r="F358"/>
    </row>
    <row r="359" spans="2:6" x14ac:dyDescent="0.25">
      <c r="B359" s="7" t="s">
        <v>200</v>
      </c>
      <c r="C359" s="7" t="s">
        <v>184</v>
      </c>
      <c r="D359" s="7" t="s">
        <v>159</v>
      </c>
      <c r="E359" s="24">
        <v>4368</v>
      </c>
      <c r="F359"/>
    </row>
    <row r="360" spans="2:6" x14ac:dyDescent="0.25">
      <c r="B360" s="7" t="s">
        <v>200</v>
      </c>
      <c r="C360" s="7" t="s">
        <v>189</v>
      </c>
      <c r="D360" s="7" t="s">
        <v>164</v>
      </c>
      <c r="E360" s="24">
        <v>4158</v>
      </c>
      <c r="F360"/>
    </row>
    <row r="361" spans="2:6" x14ac:dyDescent="0.25">
      <c r="B361" s="7" t="s">
        <v>200</v>
      </c>
      <c r="C361" s="7" t="s">
        <v>172</v>
      </c>
      <c r="D361" s="7" t="s">
        <v>173</v>
      </c>
      <c r="E361" s="24">
        <v>18172</v>
      </c>
      <c r="F361"/>
    </row>
    <row r="362" spans="2:6" x14ac:dyDescent="0.25">
      <c r="B362" s="7" t="s">
        <v>200</v>
      </c>
      <c r="C362" s="7" t="s">
        <v>174</v>
      </c>
      <c r="D362" s="7" t="s">
        <v>159</v>
      </c>
      <c r="E362" s="24">
        <v>35784</v>
      </c>
      <c r="F362"/>
    </row>
    <row r="363" spans="2:6" x14ac:dyDescent="0.25">
      <c r="B363" s="7" t="s">
        <v>200</v>
      </c>
      <c r="C363" s="7" t="s">
        <v>194</v>
      </c>
      <c r="D363" s="7" t="s">
        <v>173</v>
      </c>
      <c r="E363" s="24">
        <v>24276</v>
      </c>
      <c r="F363"/>
    </row>
    <row r="364" spans="2:6" x14ac:dyDescent="0.25">
      <c r="B364" s="7" t="s">
        <v>200</v>
      </c>
      <c r="C364" s="7" t="s">
        <v>175</v>
      </c>
      <c r="D364" s="7" t="s">
        <v>167</v>
      </c>
      <c r="E364" s="24">
        <v>2310</v>
      </c>
      <c r="F364"/>
    </row>
    <row r="365" spans="2:6" x14ac:dyDescent="0.25">
      <c r="B365" s="7" t="s">
        <v>200</v>
      </c>
      <c r="C365" s="7" t="s">
        <v>195</v>
      </c>
      <c r="D365" s="7" t="s">
        <v>162</v>
      </c>
      <c r="E365" s="24">
        <v>1210</v>
      </c>
      <c r="F365"/>
    </row>
    <row r="366" spans="2:6" x14ac:dyDescent="0.25">
      <c r="B366" s="7" t="s">
        <v>200</v>
      </c>
      <c r="C366" s="7" t="s">
        <v>183</v>
      </c>
      <c r="D366" s="7" t="s">
        <v>167</v>
      </c>
      <c r="E366" s="24">
        <v>27808</v>
      </c>
      <c r="F366"/>
    </row>
    <row r="367" spans="2:6" x14ac:dyDescent="0.25">
      <c r="B367" s="7" t="s">
        <v>200</v>
      </c>
      <c r="C367" s="7" t="s">
        <v>177</v>
      </c>
      <c r="D367" s="7" t="s">
        <v>173</v>
      </c>
      <c r="E367" s="24">
        <v>30816</v>
      </c>
      <c r="F367"/>
    </row>
    <row r="368" spans="2:6" x14ac:dyDescent="0.25">
      <c r="B368" s="7" t="s">
        <v>200</v>
      </c>
      <c r="C368" s="7" t="s">
        <v>188</v>
      </c>
      <c r="D368" s="7" t="s">
        <v>173</v>
      </c>
      <c r="E368" s="24">
        <v>15128</v>
      </c>
      <c r="F368"/>
    </row>
    <row r="369" spans="2:6" x14ac:dyDescent="0.25">
      <c r="B369" s="7" t="s">
        <v>200</v>
      </c>
      <c r="C369" s="7" t="s">
        <v>178</v>
      </c>
      <c r="D369" s="7" t="s">
        <v>173</v>
      </c>
      <c r="E369" s="24">
        <v>5777</v>
      </c>
      <c r="F369"/>
    </row>
    <row r="370" spans="2:6" x14ac:dyDescent="0.25">
      <c r="B370" s="7" t="s">
        <v>200</v>
      </c>
      <c r="C370" s="7" t="s">
        <v>190</v>
      </c>
      <c r="D370" s="7" t="s">
        <v>162</v>
      </c>
      <c r="E370" s="24">
        <v>147</v>
      </c>
      <c r="F370"/>
    </row>
    <row r="371" spans="2:6" x14ac:dyDescent="0.25">
      <c r="B371" s="7" t="s">
        <v>200</v>
      </c>
      <c r="C371" s="7" t="s">
        <v>179</v>
      </c>
      <c r="D371" s="7" t="s">
        <v>164</v>
      </c>
      <c r="E371" s="24">
        <v>18258</v>
      </c>
      <c r="F371"/>
    </row>
    <row r="372" spans="2:6" x14ac:dyDescent="0.25">
      <c r="B372" s="7" t="s">
        <v>200</v>
      </c>
      <c r="C372" s="7" t="s">
        <v>180</v>
      </c>
      <c r="D372" s="7" t="s">
        <v>167</v>
      </c>
      <c r="E372" s="24">
        <v>29880.000000000004</v>
      </c>
      <c r="F372"/>
    </row>
    <row r="373" spans="2:6" x14ac:dyDescent="0.25">
      <c r="B373" s="7" t="s">
        <v>200</v>
      </c>
      <c r="C373" s="7" t="s">
        <v>186</v>
      </c>
      <c r="D373" s="7" t="s">
        <v>167</v>
      </c>
      <c r="E373" s="24">
        <v>3496</v>
      </c>
      <c r="F373"/>
    </row>
    <row r="374" spans="2:6" x14ac:dyDescent="0.25">
      <c r="B374" s="7" t="s">
        <v>200</v>
      </c>
      <c r="C374" s="7" t="s">
        <v>181</v>
      </c>
      <c r="D374" s="7" t="s">
        <v>159</v>
      </c>
      <c r="E374" s="24">
        <v>6188</v>
      </c>
      <c r="F374"/>
    </row>
    <row r="375" spans="2:6" x14ac:dyDescent="0.25">
      <c r="B375" s="7" t="s">
        <v>200</v>
      </c>
      <c r="C375" s="7" t="s">
        <v>182</v>
      </c>
      <c r="D375" s="7" t="s">
        <v>162</v>
      </c>
      <c r="E375" s="24">
        <v>13340</v>
      </c>
      <c r="F375"/>
    </row>
    <row r="376" spans="2:6" x14ac:dyDescent="0.25">
      <c r="B376" s="7" t="s">
        <v>201</v>
      </c>
      <c r="C376" s="7" t="s">
        <v>158</v>
      </c>
      <c r="D376" s="7" t="s">
        <v>159</v>
      </c>
      <c r="E376" s="24">
        <v>9703</v>
      </c>
      <c r="F376"/>
    </row>
    <row r="377" spans="2:6" x14ac:dyDescent="0.25">
      <c r="B377" s="7" t="s">
        <v>201</v>
      </c>
      <c r="C377" s="7" t="s">
        <v>160</v>
      </c>
      <c r="D377" s="7" t="s">
        <v>159</v>
      </c>
      <c r="E377" s="24">
        <v>1700</v>
      </c>
      <c r="F377"/>
    </row>
    <row r="378" spans="2:6" x14ac:dyDescent="0.25">
      <c r="B378" s="7" t="s">
        <v>201</v>
      </c>
      <c r="C378" s="7" t="s">
        <v>192</v>
      </c>
      <c r="D378" s="7" t="s">
        <v>173</v>
      </c>
      <c r="E378" s="24">
        <v>54240</v>
      </c>
      <c r="F378"/>
    </row>
    <row r="379" spans="2:6" x14ac:dyDescent="0.25">
      <c r="B379" s="7" t="s">
        <v>201</v>
      </c>
      <c r="C379" s="7" t="s">
        <v>163</v>
      </c>
      <c r="D379" s="7" t="s">
        <v>164</v>
      </c>
      <c r="E379" s="24">
        <v>1623.9999999999998</v>
      </c>
      <c r="F379"/>
    </row>
    <row r="380" spans="2:6" x14ac:dyDescent="0.25">
      <c r="B380" s="7" t="s">
        <v>201</v>
      </c>
      <c r="C380" s="7" t="s">
        <v>165</v>
      </c>
      <c r="D380" s="7" t="s">
        <v>162</v>
      </c>
      <c r="E380" s="24">
        <v>4343</v>
      </c>
      <c r="F380"/>
    </row>
    <row r="381" spans="2:6" x14ac:dyDescent="0.25">
      <c r="B381" s="7" t="s">
        <v>201</v>
      </c>
      <c r="C381" s="7" t="s">
        <v>166</v>
      </c>
      <c r="D381" s="7" t="s">
        <v>167</v>
      </c>
      <c r="E381" s="24">
        <v>1036</v>
      </c>
      <c r="F381"/>
    </row>
    <row r="382" spans="2:6" x14ac:dyDescent="0.25">
      <c r="B382" s="7" t="s">
        <v>201</v>
      </c>
      <c r="C382" s="7" t="s">
        <v>168</v>
      </c>
      <c r="D382" s="7" t="s">
        <v>164</v>
      </c>
      <c r="E382" s="24">
        <v>71336</v>
      </c>
      <c r="F382"/>
    </row>
    <row r="383" spans="2:6" x14ac:dyDescent="0.25">
      <c r="B383" s="7" t="s">
        <v>201</v>
      </c>
      <c r="C383" s="7" t="s">
        <v>169</v>
      </c>
      <c r="D383" s="7" t="s">
        <v>159</v>
      </c>
      <c r="E383" s="24">
        <v>7048.9999999999991</v>
      </c>
      <c r="F383"/>
    </row>
    <row r="384" spans="2:6" x14ac:dyDescent="0.25">
      <c r="B384" s="7" t="s">
        <v>201</v>
      </c>
      <c r="C384" s="7" t="s">
        <v>170</v>
      </c>
      <c r="D384" s="7" t="s">
        <v>159</v>
      </c>
      <c r="E384" s="24">
        <v>1842</v>
      </c>
      <c r="F384"/>
    </row>
    <row r="385" spans="2:6" x14ac:dyDescent="0.25">
      <c r="B385" s="7" t="s">
        <v>201</v>
      </c>
      <c r="C385" s="7" t="s">
        <v>193</v>
      </c>
      <c r="D385" s="7" t="s">
        <v>173</v>
      </c>
      <c r="E385" s="24">
        <v>384</v>
      </c>
      <c r="F385"/>
    </row>
    <row r="386" spans="2:6" x14ac:dyDescent="0.25">
      <c r="B386" s="7" t="s">
        <v>201</v>
      </c>
      <c r="C386" s="7" t="s">
        <v>196</v>
      </c>
      <c r="D386" s="7" t="s">
        <v>167</v>
      </c>
      <c r="E386" s="24">
        <v>656</v>
      </c>
      <c r="F386"/>
    </row>
    <row r="387" spans="2:6" x14ac:dyDescent="0.25">
      <c r="B387" s="7" t="s">
        <v>201</v>
      </c>
      <c r="C387" s="7" t="s">
        <v>191</v>
      </c>
      <c r="D387" s="7" t="s">
        <v>162</v>
      </c>
      <c r="E387" s="24">
        <v>781</v>
      </c>
      <c r="F387"/>
    </row>
    <row r="388" spans="2:6" x14ac:dyDescent="0.25">
      <c r="B388" s="7" t="s">
        <v>201</v>
      </c>
      <c r="C388" s="7" t="s">
        <v>171</v>
      </c>
      <c r="D388" s="7" t="s">
        <v>164</v>
      </c>
      <c r="E388" s="24">
        <v>9828</v>
      </c>
      <c r="F388"/>
    </row>
    <row r="389" spans="2:6" x14ac:dyDescent="0.25">
      <c r="B389" s="7" t="s">
        <v>201</v>
      </c>
      <c r="C389" s="7" t="s">
        <v>172</v>
      </c>
      <c r="D389" s="7" t="s">
        <v>173</v>
      </c>
      <c r="E389" s="24">
        <v>7080</v>
      </c>
      <c r="F389"/>
    </row>
    <row r="390" spans="2:6" x14ac:dyDescent="0.25">
      <c r="B390" s="7" t="s">
        <v>201</v>
      </c>
      <c r="C390" s="7" t="s">
        <v>174</v>
      </c>
      <c r="D390" s="7" t="s">
        <v>159</v>
      </c>
      <c r="E390" s="24">
        <v>15123</v>
      </c>
      <c r="F390"/>
    </row>
    <row r="391" spans="2:6" x14ac:dyDescent="0.25">
      <c r="B391" s="7" t="s">
        <v>201</v>
      </c>
      <c r="C391" s="7" t="s">
        <v>194</v>
      </c>
      <c r="D391" s="7" t="s">
        <v>173</v>
      </c>
      <c r="E391" s="24">
        <v>32232</v>
      </c>
      <c r="F391"/>
    </row>
    <row r="392" spans="2:6" x14ac:dyDescent="0.25">
      <c r="B392" s="7" t="s">
        <v>201</v>
      </c>
      <c r="C392" s="7" t="s">
        <v>187</v>
      </c>
      <c r="D392" s="7" t="s">
        <v>167</v>
      </c>
      <c r="E392" s="24">
        <v>809.99999999999989</v>
      </c>
      <c r="F392"/>
    </row>
    <row r="393" spans="2:6" x14ac:dyDescent="0.25">
      <c r="B393" s="7" t="s">
        <v>201</v>
      </c>
      <c r="C393" s="7" t="s">
        <v>175</v>
      </c>
      <c r="D393" s="7" t="s">
        <v>167</v>
      </c>
      <c r="E393" s="24">
        <v>5040</v>
      </c>
      <c r="F393"/>
    </row>
    <row r="394" spans="2:6" x14ac:dyDescent="0.25">
      <c r="B394" s="7" t="s">
        <v>201</v>
      </c>
      <c r="C394" s="7" t="s">
        <v>176</v>
      </c>
      <c r="D394" s="7" t="s">
        <v>164</v>
      </c>
      <c r="E394" s="24">
        <v>2856</v>
      </c>
      <c r="F394"/>
    </row>
    <row r="395" spans="2:6" x14ac:dyDescent="0.25">
      <c r="B395" s="7" t="s">
        <v>201</v>
      </c>
      <c r="C395" s="7" t="s">
        <v>195</v>
      </c>
      <c r="D395" s="7" t="s">
        <v>162</v>
      </c>
      <c r="E395" s="24">
        <v>1694.0000000000002</v>
      </c>
      <c r="F395"/>
    </row>
    <row r="396" spans="2:6" x14ac:dyDescent="0.25">
      <c r="B396" s="7" t="s">
        <v>201</v>
      </c>
      <c r="C396" s="7" t="s">
        <v>183</v>
      </c>
      <c r="D396" s="7" t="s">
        <v>167</v>
      </c>
      <c r="E396" s="24">
        <v>2212</v>
      </c>
      <c r="F396"/>
    </row>
    <row r="397" spans="2:6" x14ac:dyDescent="0.25">
      <c r="B397" s="7" t="s">
        <v>201</v>
      </c>
      <c r="C397" s="7" t="s">
        <v>177</v>
      </c>
      <c r="D397" s="7" t="s">
        <v>173</v>
      </c>
      <c r="E397" s="24">
        <v>17441</v>
      </c>
      <c r="F397"/>
    </row>
    <row r="398" spans="2:6" x14ac:dyDescent="0.25">
      <c r="B398" s="7" t="s">
        <v>201</v>
      </c>
      <c r="C398" s="7" t="s">
        <v>178</v>
      </c>
      <c r="D398" s="7" t="s">
        <v>173</v>
      </c>
      <c r="E398" s="24">
        <v>1853</v>
      </c>
      <c r="F398"/>
    </row>
    <row r="399" spans="2:6" x14ac:dyDescent="0.25">
      <c r="B399" s="7" t="s">
        <v>201</v>
      </c>
      <c r="C399" s="7" t="s">
        <v>179</v>
      </c>
      <c r="D399" s="7" t="s">
        <v>164</v>
      </c>
      <c r="E399" s="24">
        <v>4488</v>
      </c>
      <c r="F399"/>
    </row>
    <row r="400" spans="2:6" x14ac:dyDescent="0.25">
      <c r="B400" s="7" t="s">
        <v>201</v>
      </c>
      <c r="C400" s="7" t="s">
        <v>180</v>
      </c>
      <c r="D400" s="7" t="s">
        <v>167</v>
      </c>
      <c r="E400" s="24">
        <v>17100</v>
      </c>
      <c r="F400"/>
    </row>
    <row r="401" spans="2:6" x14ac:dyDescent="0.25">
      <c r="B401" s="7" t="s">
        <v>201</v>
      </c>
      <c r="C401" s="7" t="s">
        <v>186</v>
      </c>
      <c r="D401" s="7" t="s">
        <v>167</v>
      </c>
      <c r="E401" s="24">
        <v>7429</v>
      </c>
      <c r="F401"/>
    </row>
    <row r="402" spans="2:6" x14ac:dyDescent="0.25">
      <c r="B402" s="7" t="s">
        <v>201</v>
      </c>
      <c r="C402" s="7" t="s">
        <v>181</v>
      </c>
      <c r="D402" s="7" t="s">
        <v>159</v>
      </c>
      <c r="E402" s="24">
        <v>1904</v>
      </c>
      <c r="F402"/>
    </row>
    <row r="403" spans="2:6" x14ac:dyDescent="0.25">
      <c r="B403" s="7" t="s">
        <v>201</v>
      </c>
      <c r="C403" s="7" t="s">
        <v>185</v>
      </c>
      <c r="D403" s="7" t="s">
        <v>164</v>
      </c>
      <c r="E403" s="24">
        <v>2158</v>
      </c>
      <c r="F403"/>
    </row>
    <row r="404" spans="2:6" x14ac:dyDescent="0.25">
      <c r="B404" s="7" t="s">
        <v>201</v>
      </c>
      <c r="C404" s="7" t="s">
        <v>158</v>
      </c>
      <c r="D404" s="7" t="s">
        <v>159</v>
      </c>
      <c r="E404" s="24">
        <v>19406</v>
      </c>
      <c r="F404"/>
    </row>
    <row r="405" spans="2:6" x14ac:dyDescent="0.25">
      <c r="B405" s="7" t="s">
        <v>201</v>
      </c>
      <c r="C405" s="7" t="s">
        <v>160</v>
      </c>
      <c r="D405" s="7" t="s">
        <v>159</v>
      </c>
      <c r="E405" s="24">
        <v>1156</v>
      </c>
      <c r="F405"/>
    </row>
    <row r="406" spans="2:6" x14ac:dyDescent="0.25">
      <c r="B406" s="7" t="s">
        <v>201</v>
      </c>
      <c r="C406" s="7" t="s">
        <v>192</v>
      </c>
      <c r="D406" s="7" t="s">
        <v>173</v>
      </c>
      <c r="E406" s="24">
        <v>22035</v>
      </c>
      <c r="F406"/>
    </row>
    <row r="407" spans="2:6" x14ac:dyDescent="0.25">
      <c r="B407" s="7" t="s">
        <v>201</v>
      </c>
      <c r="C407" s="7" t="s">
        <v>165</v>
      </c>
      <c r="D407" s="7" t="s">
        <v>162</v>
      </c>
      <c r="E407" s="24">
        <v>5555</v>
      </c>
      <c r="F407"/>
    </row>
    <row r="408" spans="2:6" x14ac:dyDescent="0.25">
      <c r="B408" s="7" t="s">
        <v>201</v>
      </c>
      <c r="C408" s="7" t="s">
        <v>168</v>
      </c>
      <c r="D408" s="7" t="s">
        <v>164</v>
      </c>
      <c r="E408" s="24">
        <v>103148</v>
      </c>
      <c r="F408"/>
    </row>
    <row r="409" spans="2:6" x14ac:dyDescent="0.25">
      <c r="B409" s="7" t="s">
        <v>201</v>
      </c>
      <c r="C409" s="7" t="s">
        <v>169</v>
      </c>
      <c r="D409" s="7" t="s">
        <v>159</v>
      </c>
      <c r="E409" s="24">
        <v>11172</v>
      </c>
      <c r="F409"/>
    </row>
    <row r="410" spans="2:6" x14ac:dyDescent="0.25">
      <c r="B410" s="7" t="s">
        <v>201</v>
      </c>
      <c r="C410" s="7" t="s">
        <v>170</v>
      </c>
      <c r="D410" s="7" t="s">
        <v>159</v>
      </c>
      <c r="E410" s="24">
        <v>8903</v>
      </c>
      <c r="F410"/>
    </row>
    <row r="411" spans="2:6" x14ac:dyDescent="0.25">
      <c r="B411" s="7" t="s">
        <v>201</v>
      </c>
      <c r="C411" s="7" t="s">
        <v>193</v>
      </c>
      <c r="D411" s="7" t="s">
        <v>173</v>
      </c>
      <c r="E411" s="24">
        <v>320</v>
      </c>
      <c r="F411"/>
    </row>
    <row r="412" spans="2:6" x14ac:dyDescent="0.25">
      <c r="B412" s="7" t="s">
        <v>201</v>
      </c>
      <c r="C412" s="7" t="s">
        <v>191</v>
      </c>
      <c r="D412" s="7" t="s">
        <v>162</v>
      </c>
      <c r="E412" s="24">
        <v>3479</v>
      </c>
      <c r="F412"/>
    </row>
    <row r="413" spans="2:6" x14ac:dyDescent="0.25">
      <c r="B413" s="7" t="s">
        <v>201</v>
      </c>
      <c r="C413" s="7" t="s">
        <v>171</v>
      </c>
      <c r="D413" s="7" t="s">
        <v>164</v>
      </c>
      <c r="E413" s="24">
        <v>5616</v>
      </c>
      <c r="F413"/>
    </row>
    <row r="414" spans="2:6" x14ac:dyDescent="0.25">
      <c r="B414" s="7" t="s">
        <v>201</v>
      </c>
      <c r="C414" s="7" t="s">
        <v>184</v>
      </c>
      <c r="D414" s="7" t="s">
        <v>159</v>
      </c>
      <c r="E414" s="24">
        <v>1287.9999999999998</v>
      </c>
      <c r="F414"/>
    </row>
    <row r="415" spans="2:6" x14ac:dyDescent="0.25">
      <c r="B415" s="7" t="s">
        <v>201</v>
      </c>
      <c r="C415" s="7" t="s">
        <v>189</v>
      </c>
      <c r="D415" s="7" t="s">
        <v>164</v>
      </c>
      <c r="E415" s="24">
        <v>2541</v>
      </c>
      <c r="F415"/>
    </row>
    <row r="416" spans="2:6" x14ac:dyDescent="0.25">
      <c r="B416" s="7" t="s">
        <v>201</v>
      </c>
      <c r="C416" s="7" t="s">
        <v>172</v>
      </c>
      <c r="D416" s="7" t="s">
        <v>173</v>
      </c>
      <c r="E416" s="24">
        <v>2360</v>
      </c>
      <c r="F416"/>
    </row>
    <row r="417" spans="2:6" x14ac:dyDescent="0.25">
      <c r="B417" s="7" t="s">
        <v>201</v>
      </c>
      <c r="C417" s="7" t="s">
        <v>174</v>
      </c>
      <c r="D417" s="7" t="s">
        <v>159</v>
      </c>
      <c r="E417" s="24">
        <v>3621</v>
      </c>
      <c r="F417"/>
    </row>
    <row r="418" spans="2:6" x14ac:dyDescent="0.25">
      <c r="B418" s="7" t="s">
        <v>201</v>
      </c>
      <c r="C418" s="7" t="s">
        <v>194</v>
      </c>
      <c r="D418" s="7" t="s">
        <v>173</v>
      </c>
      <c r="E418" s="24">
        <v>22440</v>
      </c>
      <c r="F418"/>
    </row>
    <row r="419" spans="2:6" x14ac:dyDescent="0.25">
      <c r="B419" s="7" t="s">
        <v>201</v>
      </c>
      <c r="C419" s="7" t="s">
        <v>175</v>
      </c>
      <c r="D419" s="7" t="s">
        <v>167</v>
      </c>
      <c r="E419" s="24">
        <v>12600</v>
      </c>
      <c r="F419"/>
    </row>
    <row r="420" spans="2:6" x14ac:dyDescent="0.25">
      <c r="B420" s="7" t="s">
        <v>201</v>
      </c>
      <c r="C420" s="7" t="s">
        <v>195</v>
      </c>
      <c r="D420" s="7" t="s">
        <v>162</v>
      </c>
      <c r="E420" s="24">
        <v>4477</v>
      </c>
      <c r="F420"/>
    </row>
    <row r="421" spans="2:6" x14ac:dyDescent="0.25">
      <c r="B421" s="7" t="s">
        <v>201</v>
      </c>
      <c r="C421" s="7" t="s">
        <v>183</v>
      </c>
      <c r="D421" s="7" t="s">
        <v>167</v>
      </c>
      <c r="E421" s="24">
        <v>5056</v>
      </c>
      <c r="F421"/>
    </row>
    <row r="422" spans="2:6" x14ac:dyDescent="0.25">
      <c r="B422" s="7" t="s">
        <v>201</v>
      </c>
      <c r="C422" s="7" t="s">
        <v>177</v>
      </c>
      <c r="D422" s="7" t="s">
        <v>173</v>
      </c>
      <c r="E422" s="24">
        <v>6313</v>
      </c>
      <c r="F422"/>
    </row>
    <row r="423" spans="2:6" x14ac:dyDescent="0.25">
      <c r="B423" s="7" t="s">
        <v>201</v>
      </c>
      <c r="C423" s="7" t="s">
        <v>178</v>
      </c>
      <c r="D423" s="7" t="s">
        <v>173</v>
      </c>
      <c r="E423" s="24">
        <v>2180</v>
      </c>
      <c r="F423"/>
    </row>
    <row r="424" spans="2:6" x14ac:dyDescent="0.25">
      <c r="B424" s="7" t="s">
        <v>201</v>
      </c>
      <c r="C424" s="7" t="s">
        <v>179</v>
      </c>
      <c r="D424" s="7" t="s">
        <v>164</v>
      </c>
      <c r="E424" s="24">
        <v>5100</v>
      </c>
      <c r="F424"/>
    </row>
    <row r="425" spans="2:6" x14ac:dyDescent="0.25">
      <c r="B425" s="7" t="s">
        <v>201</v>
      </c>
      <c r="C425" s="7" t="s">
        <v>158</v>
      </c>
      <c r="D425" s="7" t="s">
        <v>159</v>
      </c>
      <c r="E425" s="24">
        <v>53210</v>
      </c>
      <c r="F425"/>
    </row>
    <row r="426" spans="2:6" x14ac:dyDescent="0.25">
      <c r="B426" s="7" t="s">
        <v>201</v>
      </c>
      <c r="C426" s="7" t="s">
        <v>160</v>
      </c>
      <c r="D426" s="7" t="s">
        <v>159</v>
      </c>
      <c r="E426" s="24">
        <v>5576</v>
      </c>
      <c r="F426"/>
    </row>
    <row r="427" spans="2:6" x14ac:dyDescent="0.25">
      <c r="B427" s="7" t="s">
        <v>201</v>
      </c>
      <c r="C427" s="7" t="s">
        <v>192</v>
      </c>
      <c r="D427" s="7" t="s">
        <v>173</v>
      </c>
      <c r="E427" s="24">
        <v>76953</v>
      </c>
      <c r="F427"/>
    </row>
    <row r="428" spans="2:6" x14ac:dyDescent="0.25">
      <c r="B428" s="7" t="s">
        <v>201</v>
      </c>
      <c r="C428" s="7" t="s">
        <v>165</v>
      </c>
      <c r="D428" s="7" t="s">
        <v>162</v>
      </c>
      <c r="E428" s="24">
        <v>14645</v>
      </c>
      <c r="F428"/>
    </row>
    <row r="429" spans="2:6" x14ac:dyDescent="0.25">
      <c r="B429" s="7" t="s">
        <v>201</v>
      </c>
      <c r="C429" s="7" t="s">
        <v>166</v>
      </c>
      <c r="D429" s="7" t="s">
        <v>167</v>
      </c>
      <c r="E429" s="24">
        <v>6216</v>
      </c>
      <c r="F429"/>
    </row>
    <row r="430" spans="2:6" x14ac:dyDescent="0.25">
      <c r="B430" s="7" t="s">
        <v>201</v>
      </c>
      <c r="C430" s="7" t="s">
        <v>168</v>
      </c>
      <c r="D430" s="7" t="s">
        <v>164</v>
      </c>
      <c r="E430" s="24">
        <v>25064</v>
      </c>
      <c r="F430"/>
    </row>
    <row r="431" spans="2:6" x14ac:dyDescent="0.25">
      <c r="B431" s="7" t="s">
        <v>201</v>
      </c>
      <c r="C431" s="7" t="s">
        <v>169</v>
      </c>
      <c r="D431" s="7" t="s">
        <v>159</v>
      </c>
      <c r="E431" s="24">
        <v>21812</v>
      </c>
      <c r="F431"/>
    </row>
    <row r="432" spans="2:6" x14ac:dyDescent="0.25">
      <c r="B432" s="7" t="s">
        <v>201</v>
      </c>
      <c r="C432" s="7" t="s">
        <v>170</v>
      </c>
      <c r="D432" s="7" t="s">
        <v>159</v>
      </c>
      <c r="E432" s="24">
        <v>33156</v>
      </c>
      <c r="F432"/>
    </row>
    <row r="433" spans="2:6" x14ac:dyDescent="0.25">
      <c r="B433" s="7" t="s">
        <v>201</v>
      </c>
      <c r="C433" s="7" t="s">
        <v>193</v>
      </c>
      <c r="D433" s="7" t="s">
        <v>173</v>
      </c>
      <c r="E433" s="24">
        <v>1152</v>
      </c>
      <c r="F433"/>
    </row>
    <row r="434" spans="2:6" x14ac:dyDescent="0.25">
      <c r="B434" s="7" t="s">
        <v>201</v>
      </c>
      <c r="C434" s="7" t="s">
        <v>196</v>
      </c>
      <c r="D434" s="7" t="s">
        <v>167</v>
      </c>
      <c r="E434" s="24">
        <v>1968</v>
      </c>
      <c r="F434"/>
    </row>
    <row r="435" spans="2:6" x14ac:dyDescent="0.25">
      <c r="B435" s="7" t="s">
        <v>201</v>
      </c>
      <c r="C435" s="7" t="s">
        <v>191</v>
      </c>
      <c r="D435" s="7" t="s">
        <v>162</v>
      </c>
      <c r="E435" s="24">
        <v>2698</v>
      </c>
      <c r="F435"/>
    </row>
    <row r="436" spans="2:6" x14ac:dyDescent="0.25">
      <c r="B436" s="7" t="s">
        <v>201</v>
      </c>
      <c r="C436" s="7" t="s">
        <v>171</v>
      </c>
      <c r="D436" s="7" t="s">
        <v>164</v>
      </c>
      <c r="E436" s="24">
        <v>5616</v>
      </c>
      <c r="F436"/>
    </row>
    <row r="437" spans="2:6" x14ac:dyDescent="0.25">
      <c r="B437" s="7" t="s">
        <v>201</v>
      </c>
      <c r="C437" s="7" t="s">
        <v>184</v>
      </c>
      <c r="D437" s="7" t="s">
        <v>159</v>
      </c>
      <c r="E437" s="24">
        <v>671.99999999999989</v>
      </c>
      <c r="F437"/>
    </row>
    <row r="438" spans="2:6" x14ac:dyDescent="0.25">
      <c r="B438" s="7" t="s">
        <v>201</v>
      </c>
      <c r="C438" s="7" t="s">
        <v>189</v>
      </c>
      <c r="D438" s="7" t="s">
        <v>164</v>
      </c>
      <c r="E438" s="24">
        <v>6699</v>
      </c>
      <c r="F438"/>
    </row>
    <row r="439" spans="2:6" x14ac:dyDescent="0.25">
      <c r="B439" s="7" t="s">
        <v>201</v>
      </c>
      <c r="C439" s="7" t="s">
        <v>172</v>
      </c>
      <c r="D439" s="7" t="s">
        <v>173</v>
      </c>
      <c r="E439" s="24">
        <v>8968</v>
      </c>
      <c r="F439"/>
    </row>
    <row r="440" spans="2:6" x14ac:dyDescent="0.25">
      <c r="B440" s="7" t="s">
        <v>201</v>
      </c>
      <c r="C440" s="7" t="s">
        <v>174</v>
      </c>
      <c r="D440" s="7" t="s">
        <v>159</v>
      </c>
      <c r="E440" s="24">
        <v>46221</v>
      </c>
      <c r="F440"/>
    </row>
    <row r="441" spans="2:6" x14ac:dyDescent="0.25">
      <c r="B441" s="7" t="s">
        <v>201</v>
      </c>
      <c r="C441" s="7" t="s">
        <v>194</v>
      </c>
      <c r="D441" s="7" t="s">
        <v>173</v>
      </c>
      <c r="E441" s="24">
        <v>29580</v>
      </c>
      <c r="F441"/>
    </row>
    <row r="442" spans="2:6" x14ac:dyDescent="0.25">
      <c r="B442" s="7" t="s">
        <v>201</v>
      </c>
      <c r="C442" s="7" t="s">
        <v>195</v>
      </c>
      <c r="D442" s="7" t="s">
        <v>162</v>
      </c>
      <c r="E442" s="24">
        <v>1331</v>
      </c>
      <c r="F442"/>
    </row>
    <row r="443" spans="2:6" x14ac:dyDescent="0.25">
      <c r="B443" s="7" t="s">
        <v>201</v>
      </c>
      <c r="C443" s="7" t="s">
        <v>183</v>
      </c>
      <c r="D443" s="7" t="s">
        <v>167</v>
      </c>
      <c r="E443" s="24">
        <v>11692</v>
      </c>
      <c r="F443"/>
    </row>
    <row r="444" spans="2:6" x14ac:dyDescent="0.25">
      <c r="B444" s="7" t="s">
        <v>201</v>
      </c>
      <c r="C444" s="7" t="s">
        <v>177</v>
      </c>
      <c r="D444" s="7" t="s">
        <v>173</v>
      </c>
      <c r="E444" s="24">
        <v>21079</v>
      </c>
      <c r="F444"/>
    </row>
    <row r="445" spans="2:6" x14ac:dyDescent="0.25">
      <c r="B445" s="7" t="s">
        <v>201</v>
      </c>
      <c r="C445" s="7" t="s">
        <v>188</v>
      </c>
      <c r="D445" s="7" t="s">
        <v>173</v>
      </c>
      <c r="E445" s="24">
        <v>8680</v>
      </c>
      <c r="F445"/>
    </row>
    <row r="446" spans="2:6" x14ac:dyDescent="0.25">
      <c r="B446" s="7" t="s">
        <v>201</v>
      </c>
      <c r="C446" s="7" t="s">
        <v>178</v>
      </c>
      <c r="D446" s="7" t="s">
        <v>173</v>
      </c>
      <c r="E446" s="24">
        <v>6540</v>
      </c>
      <c r="F446"/>
    </row>
    <row r="447" spans="2:6" x14ac:dyDescent="0.25">
      <c r="B447" s="7" t="s">
        <v>201</v>
      </c>
      <c r="C447" s="7" t="s">
        <v>190</v>
      </c>
      <c r="D447" s="7" t="s">
        <v>162</v>
      </c>
      <c r="E447" s="24">
        <v>1134</v>
      </c>
      <c r="F447"/>
    </row>
    <row r="448" spans="2:6" x14ac:dyDescent="0.25">
      <c r="B448" s="7" t="s">
        <v>201</v>
      </c>
      <c r="C448" s="7" t="s">
        <v>179</v>
      </c>
      <c r="D448" s="7" t="s">
        <v>164</v>
      </c>
      <c r="E448" s="24">
        <v>4080</v>
      </c>
      <c r="F448"/>
    </row>
    <row r="449" spans="2:6" x14ac:dyDescent="0.25">
      <c r="B449" s="7" t="s">
        <v>201</v>
      </c>
      <c r="C449" s="7" t="s">
        <v>180</v>
      </c>
      <c r="D449" s="7" t="s">
        <v>167</v>
      </c>
      <c r="E449" s="24">
        <v>5760</v>
      </c>
      <c r="F449"/>
    </row>
    <row r="450" spans="2:6" x14ac:dyDescent="0.25">
      <c r="B450" s="7" t="s">
        <v>201</v>
      </c>
      <c r="C450" s="7" t="s">
        <v>181</v>
      </c>
      <c r="D450" s="7" t="s">
        <v>159</v>
      </c>
      <c r="E450" s="24">
        <v>3094</v>
      </c>
      <c r="F450"/>
    </row>
    <row r="451" spans="2:6" x14ac:dyDescent="0.25">
      <c r="B451" s="7" t="s">
        <v>201</v>
      </c>
      <c r="C451" s="7" t="s">
        <v>182</v>
      </c>
      <c r="D451" s="7" t="s">
        <v>162</v>
      </c>
      <c r="E451" s="24">
        <v>3680.0000000000005</v>
      </c>
      <c r="F451"/>
    </row>
    <row r="452" spans="2:6" x14ac:dyDescent="0.25">
      <c r="B452" s="7" t="s">
        <v>202</v>
      </c>
      <c r="C452" s="7" t="s">
        <v>158</v>
      </c>
      <c r="D452" s="7" t="s">
        <v>159</v>
      </c>
      <c r="E452" s="24">
        <v>16902</v>
      </c>
      <c r="F452"/>
    </row>
    <row r="453" spans="2:6" x14ac:dyDescent="0.25">
      <c r="B453" s="7" t="s">
        <v>202</v>
      </c>
      <c r="C453" s="7" t="s">
        <v>160</v>
      </c>
      <c r="D453" s="7" t="s">
        <v>159</v>
      </c>
      <c r="E453" s="24">
        <v>2380</v>
      </c>
      <c r="F453"/>
    </row>
    <row r="454" spans="2:6" x14ac:dyDescent="0.25">
      <c r="B454" s="7" t="s">
        <v>202</v>
      </c>
      <c r="C454" s="7" t="s">
        <v>192</v>
      </c>
      <c r="D454" s="7" t="s">
        <v>173</v>
      </c>
      <c r="E454" s="24">
        <v>49155</v>
      </c>
      <c r="F454"/>
    </row>
    <row r="455" spans="2:6" x14ac:dyDescent="0.25">
      <c r="B455" s="7" t="s">
        <v>202</v>
      </c>
      <c r="C455" s="7" t="s">
        <v>161</v>
      </c>
      <c r="D455" s="7" t="s">
        <v>162</v>
      </c>
      <c r="E455" s="24">
        <v>1452</v>
      </c>
      <c r="F455"/>
    </row>
    <row r="456" spans="2:6" x14ac:dyDescent="0.25">
      <c r="B456" s="7" t="s">
        <v>202</v>
      </c>
      <c r="C456" s="7" t="s">
        <v>165</v>
      </c>
      <c r="D456" s="7" t="s">
        <v>162</v>
      </c>
      <c r="E456" s="24">
        <v>17776</v>
      </c>
      <c r="F456"/>
    </row>
    <row r="457" spans="2:6" x14ac:dyDescent="0.25">
      <c r="B457" s="7" t="s">
        <v>202</v>
      </c>
      <c r="C457" s="7" t="s">
        <v>166</v>
      </c>
      <c r="D457" s="7" t="s">
        <v>167</v>
      </c>
      <c r="E457" s="24">
        <v>5328</v>
      </c>
      <c r="F457"/>
    </row>
    <row r="458" spans="2:6" x14ac:dyDescent="0.25">
      <c r="B458" s="7" t="s">
        <v>202</v>
      </c>
      <c r="C458" s="7" t="s">
        <v>168</v>
      </c>
      <c r="D458" s="7" t="s">
        <v>164</v>
      </c>
      <c r="E458" s="24">
        <v>102184</v>
      </c>
      <c r="F458"/>
    </row>
    <row r="459" spans="2:6" x14ac:dyDescent="0.25">
      <c r="B459" s="7" t="s">
        <v>202</v>
      </c>
      <c r="C459" s="7" t="s">
        <v>169</v>
      </c>
      <c r="D459" s="7" t="s">
        <v>159</v>
      </c>
      <c r="E459" s="24">
        <v>10640</v>
      </c>
      <c r="F459"/>
    </row>
    <row r="460" spans="2:6" x14ac:dyDescent="0.25">
      <c r="B460" s="7" t="s">
        <v>202</v>
      </c>
      <c r="C460" s="7" t="s">
        <v>170</v>
      </c>
      <c r="D460" s="7" t="s">
        <v>159</v>
      </c>
      <c r="E460" s="24">
        <v>10438</v>
      </c>
      <c r="F460"/>
    </row>
    <row r="461" spans="2:6" x14ac:dyDescent="0.25">
      <c r="B461" s="7" t="s">
        <v>202</v>
      </c>
      <c r="C461" s="7" t="s">
        <v>193</v>
      </c>
      <c r="D461" s="7" t="s">
        <v>173</v>
      </c>
      <c r="E461" s="24">
        <v>3072</v>
      </c>
      <c r="F461"/>
    </row>
    <row r="462" spans="2:6" x14ac:dyDescent="0.25">
      <c r="B462" s="7" t="s">
        <v>202</v>
      </c>
      <c r="C462" s="7" t="s">
        <v>196</v>
      </c>
      <c r="D462" s="7" t="s">
        <v>167</v>
      </c>
      <c r="E462" s="24">
        <v>3280</v>
      </c>
      <c r="F462"/>
    </row>
    <row r="463" spans="2:6" x14ac:dyDescent="0.25">
      <c r="B463" s="7" t="s">
        <v>202</v>
      </c>
      <c r="C463" s="7" t="s">
        <v>191</v>
      </c>
      <c r="D463" s="7" t="s">
        <v>162</v>
      </c>
      <c r="E463" s="24">
        <v>568</v>
      </c>
      <c r="F463"/>
    </row>
    <row r="464" spans="2:6" x14ac:dyDescent="0.25">
      <c r="B464" s="7" t="s">
        <v>202</v>
      </c>
      <c r="C464" s="7" t="s">
        <v>184</v>
      </c>
      <c r="D464" s="7" t="s">
        <v>159</v>
      </c>
      <c r="E464" s="24">
        <v>727.99999999999989</v>
      </c>
      <c r="F464"/>
    </row>
    <row r="465" spans="2:6" x14ac:dyDescent="0.25">
      <c r="B465" s="7" t="s">
        <v>202</v>
      </c>
      <c r="C465" s="7" t="s">
        <v>189</v>
      </c>
      <c r="D465" s="7" t="s">
        <v>164</v>
      </c>
      <c r="E465" s="24">
        <v>461.99999999999994</v>
      </c>
      <c r="F465"/>
    </row>
    <row r="466" spans="2:6" x14ac:dyDescent="0.25">
      <c r="B466" s="7" t="s">
        <v>202</v>
      </c>
      <c r="C466" s="7" t="s">
        <v>172</v>
      </c>
      <c r="D466" s="7" t="s">
        <v>173</v>
      </c>
      <c r="E466" s="24">
        <v>9440</v>
      </c>
      <c r="F466"/>
    </row>
    <row r="467" spans="2:6" x14ac:dyDescent="0.25">
      <c r="B467" s="7" t="s">
        <v>202</v>
      </c>
      <c r="C467" s="7" t="s">
        <v>174</v>
      </c>
      <c r="D467" s="7" t="s">
        <v>159</v>
      </c>
      <c r="E467" s="24">
        <v>7242</v>
      </c>
      <c r="F467"/>
    </row>
    <row r="468" spans="2:6" x14ac:dyDescent="0.25">
      <c r="B468" s="7" t="s">
        <v>202</v>
      </c>
      <c r="C468" s="7" t="s">
        <v>194</v>
      </c>
      <c r="D468" s="7" t="s">
        <v>173</v>
      </c>
      <c r="E468" s="24">
        <v>31824</v>
      </c>
      <c r="F468"/>
    </row>
    <row r="469" spans="2:6" x14ac:dyDescent="0.25">
      <c r="B469" s="7" t="s">
        <v>202</v>
      </c>
      <c r="C469" s="7" t="s">
        <v>175</v>
      </c>
      <c r="D469" s="7" t="s">
        <v>167</v>
      </c>
      <c r="E469" s="24">
        <v>8610</v>
      </c>
      <c r="F469"/>
    </row>
    <row r="470" spans="2:6" x14ac:dyDescent="0.25">
      <c r="B470" s="7" t="s">
        <v>202</v>
      </c>
      <c r="C470" s="7" t="s">
        <v>195</v>
      </c>
      <c r="D470" s="7" t="s">
        <v>162</v>
      </c>
      <c r="E470" s="24">
        <v>3146.0000000000005</v>
      </c>
      <c r="F470"/>
    </row>
    <row r="471" spans="2:6" x14ac:dyDescent="0.25">
      <c r="B471" s="7" t="s">
        <v>202</v>
      </c>
      <c r="C471" s="7" t="s">
        <v>183</v>
      </c>
      <c r="D471" s="7" t="s">
        <v>167</v>
      </c>
      <c r="E471" s="24">
        <v>2528</v>
      </c>
      <c r="F471"/>
    </row>
    <row r="472" spans="2:6" x14ac:dyDescent="0.25">
      <c r="B472" s="7" t="s">
        <v>202</v>
      </c>
      <c r="C472" s="7" t="s">
        <v>177</v>
      </c>
      <c r="D472" s="7" t="s">
        <v>173</v>
      </c>
      <c r="E472" s="24">
        <v>12198</v>
      </c>
      <c r="F472"/>
    </row>
    <row r="473" spans="2:6" x14ac:dyDescent="0.25">
      <c r="B473" s="7" t="s">
        <v>202</v>
      </c>
      <c r="C473" s="7" t="s">
        <v>178</v>
      </c>
      <c r="D473" s="7" t="s">
        <v>173</v>
      </c>
      <c r="E473" s="24">
        <v>2834</v>
      </c>
      <c r="F473"/>
    </row>
    <row r="474" spans="2:6" x14ac:dyDescent="0.25">
      <c r="B474" s="7" t="s">
        <v>202</v>
      </c>
      <c r="C474" s="7" t="s">
        <v>190</v>
      </c>
      <c r="D474" s="7" t="s">
        <v>162</v>
      </c>
      <c r="E474" s="24">
        <v>357</v>
      </c>
      <c r="F474"/>
    </row>
    <row r="475" spans="2:6" x14ac:dyDescent="0.25">
      <c r="B475" s="7" t="s">
        <v>202</v>
      </c>
      <c r="C475" s="7" t="s">
        <v>179</v>
      </c>
      <c r="D475" s="7" t="s">
        <v>164</v>
      </c>
      <c r="E475" s="24">
        <v>7548</v>
      </c>
      <c r="F475"/>
    </row>
    <row r="476" spans="2:6" x14ac:dyDescent="0.25">
      <c r="B476" s="7" t="s">
        <v>202</v>
      </c>
      <c r="C476" s="7" t="s">
        <v>180</v>
      </c>
      <c r="D476" s="7" t="s">
        <v>167</v>
      </c>
      <c r="E476" s="24">
        <v>10080</v>
      </c>
      <c r="F476"/>
    </row>
    <row r="477" spans="2:6" x14ac:dyDescent="0.25">
      <c r="B477" s="7" t="s">
        <v>202</v>
      </c>
      <c r="C477" s="7" t="s">
        <v>181</v>
      </c>
      <c r="D477" s="7" t="s">
        <v>159</v>
      </c>
      <c r="E477" s="24">
        <v>2618</v>
      </c>
      <c r="F477"/>
    </row>
    <row r="478" spans="2:6" x14ac:dyDescent="0.25">
      <c r="B478" s="7" t="s">
        <v>202</v>
      </c>
      <c r="C478" s="7" t="s">
        <v>182</v>
      </c>
      <c r="D478" s="7" t="s">
        <v>162</v>
      </c>
      <c r="E478" s="24">
        <v>2300</v>
      </c>
      <c r="F478"/>
    </row>
    <row r="479" spans="2:6" x14ac:dyDescent="0.25">
      <c r="B479" s="7" t="s">
        <v>202</v>
      </c>
      <c r="C479" s="7" t="s">
        <v>158</v>
      </c>
      <c r="D479" s="7" t="s">
        <v>159</v>
      </c>
      <c r="E479" s="24">
        <v>4069.0000000000005</v>
      </c>
      <c r="F479"/>
    </row>
    <row r="480" spans="2:6" x14ac:dyDescent="0.25">
      <c r="B480" s="7" t="s">
        <v>202</v>
      </c>
      <c r="C480" s="7" t="s">
        <v>160</v>
      </c>
      <c r="D480" s="7" t="s">
        <v>159</v>
      </c>
      <c r="E480" s="24">
        <v>2924</v>
      </c>
      <c r="F480"/>
    </row>
    <row r="481" spans="2:6" x14ac:dyDescent="0.25">
      <c r="B481" s="7" t="s">
        <v>202</v>
      </c>
      <c r="C481" s="7" t="s">
        <v>192</v>
      </c>
      <c r="D481" s="7" t="s">
        <v>173</v>
      </c>
      <c r="E481" s="24">
        <v>14916</v>
      </c>
      <c r="F481"/>
    </row>
    <row r="482" spans="2:6" x14ac:dyDescent="0.25">
      <c r="B482" s="7" t="s">
        <v>202</v>
      </c>
      <c r="C482" s="7" t="s">
        <v>165</v>
      </c>
      <c r="D482" s="7" t="s">
        <v>162</v>
      </c>
      <c r="E482" s="24">
        <v>9494</v>
      </c>
      <c r="F482"/>
    </row>
    <row r="483" spans="2:6" x14ac:dyDescent="0.25">
      <c r="B483" s="7" t="s">
        <v>202</v>
      </c>
      <c r="C483" s="7" t="s">
        <v>166</v>
      </c>
      <c r="D483" s="7" t="s">
        <v>167</v>
      </c>
      <c r="E483" s="24">
        <v>4292</v>
      </c>
      <c r="F483"/>
    </row>
    <row r="484" spans="2:6" x14ac:dyDescent="0.25">
      <c r="B484" s="7" t="s">
        <v>202</v>
      </c>
      <c r="C484" s="7" t="s">
        <v>168</v>
      </c>
      <c r="D484" s="7" t="s">
        <v>164</v>
      </c>
      <c r="E484" s="24">
        <v>104112</v>
      </c>
      <c r="F484"/>
    </row>
    <row r="485" spans="2:6" x14ac:dyDescent="0.25">
      <c r="B485" s="7" t="s">
        <v>202</v>
      </c>
      <c r="C485" s="7" t="s">
        <v>169</v>
      </c>
      <c r="D485" s="7" t="s">
        <v>159</v>
      </c>
      <c r="E485" s="24">
        <v>14230.999999999998</v>
      </c>
      <c r="F485"/>
    </row>
    <row r="486" spans="2:6" x14ac:dyDescent="0.25">
      <c r="B486" s="7" t="s">
        <v>202</v>
      </c>
      <c r="C486" s="7" t="s">
        <v>170</v>
      </c>
      <c r="D486" s="7" t="s">
        <v>159</v>
      </c>
      <c r="E486" s="24">
        <v>8596</v>
      </c>
      <c r="F486"/>
    </row>
    <row r="487" spans="2:6" x14ac:dyDescent="0.25">
      <c r="B487" s="7" t="s">
        <v>202</v>
      </c>
      <c r="C487" s="7" t="s">
        <v>193</v>
      </c>
      <c r="D487" s="7" t="s">
        <v>173</v>
      </c>
      <c r="E487" s="24">
        <v>3072</v>
      </c>
      <c r="F487"/>
    </row>
    <row r="488" spans="2:6" x14ac:dyDescent="0.25">
      <c r="B488" s="7" t="s">
        <v>202</v>
      </c>
      <c r="C488" s="7" t="s">
        <v>196</v>
      </c>
      <c r="D488" s="7" t="s">
        <v>167</v>
      </c>
      <c r="E488" s="24">
        <v>820</v>
      </c>
      <c r="F488"/>
    </row>
    <row r="489" spans="2:6" x14ac:dyDescent="0.25">
      <c r="B489" s="7" t="s">
        <v>202</v>
      </c>
      <c r="C489" s="7" t="s">
        <v>191</v>
      </c>
      <c r="D489" s="7" t="s">
        <v>162</v>
      </c>
      <c r="E489" s="24">
        <v>1775</v>
      </c>
      <c r="F489"/>
    </row>
    <row r="490" spans="2:6" x14ac:dyDescent="0.25">
      <c r="B490" s="7" t="s">
        <v>202</v>
      </c>
      <c r="C490" s="7" t="s">
        <v>171</v>
      </c>
      <c r="D490" s="7" t="s">
        <v>164</v>
      </c>
      <c r="E490" s="24">
        <v>32994</v>
      </c>
      <c r="F490"/>
    </row>
    <row r="491" spans="2:6" x14ac:dyDescent="0.25">
      <c r="B491" s="7" t="s">
        <v>202</v>
      </c>
      <c r="C491" s="7" t="s">
        <v>184</v>
      </c>
      <c r="D491" s="7" t="s">
        <v>159</v>
      </c>
      <c r="E491" s="24">
        <v>3023.9999999999995</v>
      </c>
      <c r="F491"/>
    </row>
    <row r="492" spans="2:6" x14ac:dyDescent="0.25">
      <c r="B492" s="7" t="s">
        <v>202</v>
      </c>
      <c r="C492" s="7" t="s">
        <v>189</v>
      </c>
      <c r="D492" s="7" t="s">
        <v>164</v>
      </c>
      <c r="E492" s="24">
        <v>2772</v>
      </c>
      <c r="F492"/>
    </row>
    <row r="493" spans="2:6" x14ac:dyDescent="0.25">
      <c r="B493" s="7" t="s">
        <v>202</v>
      </c>
      <c r="C493" s="7" t="s">
        <v>172</v>
      </c>
      <c r="D493" s="7" t="s">
        <v>173</v>
      </c>
      <c r="E493" s="24">
        <v>2832</v>
      </c>
      <c r="F493"/>
    </row>
    <row r="494" spans="2:6" x14ac:dyDescent="0.25">
      <c r="B494" s="7" t="s">
        <v>202</v>
      </c>
      <c r="C494" s="7" t="s">
        <v>174</v>
      </c>
      <c r="D494" s="7" t="s">
        <v>159</v>
      </c>
      <c r="E494" s="24">
        <v>4047</v>
      </c>
      <c r="F494"/>
    </row>
    <row r="495" spans="2:6" x14ac:dyDescent="0.25">
      <c r="B495" s="7" t="s">
        <v>202</v>
      </c>
      <c r="C495" s="7" t="s">
        <v>194</v>
      </c>
      <c r="D495" s="7" t="s">
        <v>173</v>
      </c>
      <c r="E495" s="24">
        <v>23052</v>
      </c>
      <c r="F495"/>
    </row>
    <row r="496" spans="2:6" x14ac:dyDescent="0.25">
      <c r="B496" s="7" t="s">
        <v>202</v>
      </c>
      <c r="C496" s="7" t="s">
        <v>175</v>
      </c>
      <c r="D496" s="7" t="s">
        <v>167</v>
      </c>
      <c r="E496" s="24">
        <v>840</v>
      </c>
      <c r="F496"/>
    </row>
    <row r="497" spans="2:6" x14ac:dyDescent="0.25">
      <c r="B497" s="7" t="s">
        <v>202</v>
      </c>
      <c r="C497" s="7" t="s">
        <v>195</v>
      </c>
      <c r="D497" s="7" t="s">
        <v>162</v>
      </c>
      <c r="E497" s="24">
        <v>1694.0000000000002</v>
      </c>
      <c r="F497"/>
    </row>
    <row r="498" spans="2:6" x14ac:dyDescent="0.25">
      <c r="B498" s="7" t="s">
        <v>202</v>
      </c>
      <c r="C498" s="7" t="s">
        <v>183</v>
      </c>
      <c r="D498" s="7" t="s">
        <v>167</v>
      </c>
      <c r="E498" s="24">
        <v>11060</v>
      </c>
      <c r="F498"/>
    </row>
    <row r="499" spans="2:6" x14ac:dyDescent="0.25">
      <c r="B499" s="7" t="s">
        <v>202</v>
      </c>
      <c r="C499" s="7" t="s">
        <v>177</v>
      </c>
      <c r="D499" s="7" t="s">
        <v>173</v>
      </c>
      <c r="E499" s="24">
        <v>18404</v>
      </c>
      <c r="F499"/>
    </row>
    <row r="500" spans="2:6" x14ac:dyDescent="0.25">
      <c r="B500" s="7" t="s">
        <v>202</v>
      </c>
      <c r="C500" s="7" t="s">
        <v>188</v>
      </c>
      <c r="D500" s="7" t="s">
        <v>173</v>
      </c>
      <c r="E500" s="24">
        <v>1488</v>
      </c>
      <c r="F500"/>
    </row>
    <row r="501" spans="2:6" x14ac:dyDescent="0.25">
      <c r="B501" s="7" t="s">
        <v>202</v>
      </c>
      <c r="C501" s="7" t="s">
        <v>178</v>
      </c>
      <c r="D501" s="7" t="s">
        <v>173</v>
      </c>
      <c r="E501" s="24">
        <v>1853</v>
      </c>
      <c r="F501"/>
    </row>
    <row r="502" spans="2:6" x14ac:dyDescent="0.25">
      <c r="B502" s="7" t="s">
        <v>202</v>
      </c>
      <c r="C502" s="7" t="s">
        <v>179</v>
      </c>
      <c r="D502" s="7" t="s">
        <v>164</v>
      </c>
      <c r="E502" s="24">
        <v>6732</v>
      </c>
      <c r="F502"/>
    </row>
    <row r="503" spans="2:6" x14ac:dyDescent="0.25">
      <c r="B503" s="7" t="s">
        <v>202</v>
      </c>
      <c r="C503" s="7" t="s">
        <v>180</v>
      </c>
      <c r="D503" s="7" t="s">
        <v>167</v>
      </c>
      <c r="E503" s="24">
        <v>6660</v>
      </c>
      <c r="F503"/>
    </row>
    <row r="504" spans="2:6" x14ac:dyDescent="0.25">
      <c r="B504" s="7" t="s">
        <v>202</v>
      </c>
      <c r="C504" s="7" t="s">
        <v>181</v>
      </c>
      <c r="D504" s="7" t="s">
        <v>159</v>
      </c>
      <c r="E504" s="24">
        <v>4284</v>
      </c>
      <c r="F504"/>
    </row>
    <row r="505" spans="2:6" x14ac:dyDescent="0.25">
      <c r="B505" s="7" t="s">
        <v>202</v>
      </c>
      <c r="C505" s="7" t="s">
        <v>182</v>
      </c>
      <c r="D505" s="7" t="s">
        <v>162</v>
      </c>
      <c r="E505" s="24">
        <v>7820.0000000000009</v>
      </c>
      <c r="F505"/>
    </row>
    <row r="506" spans="2:6" x14ac:dyDescent="0.25">
      <c r="B506" s="7" t="s">
        <v>202</v>
      </c>
      <c r="C506" s="7" t="s">
        <v>158</v>
      </c>
      <c r="D506" s="7" t="s">
        <v>159</v>
      </c>
      <c r="E506" s="24">
        <v>17215</v>
      </c>
      <c r="F506"/>
    </row>
    <row r="507" spans="2:6" x14ac:dyDescent="0.25">
      <c r="B507" s="7" t="s">
        <v>202</v>
      </c>
      <c r="C507" s="7" t="s">
        <v>160</v>
      </c>
      <c r="D507" s="7" t="s">
        <v>159</v>
      </c>
      <c r="E507" s="24">
        <v>9792</v>
      </c>
      <c r="F507"/>
    </row>
    <row r="508" spans="2:6" x14ac:dyDescent="0.25">
      <c r="B508" s="7" t="s">
        <v>202</v>
      </c>
      <c r="C508" s="7" t="s">
        <v>192</v>
      </c>
      <c r="D508" s="7" t="s">
        <v>173</v>
      </c>
      <c r="E508" s="24">
        <v>56274</v>
      </c>
      <c r="F508"/>
    </row>
    <row r="509" spans="2:6" x14ac:dyDescent="0.25">
      <c r="B509" s="7" t="s">
        <v>202</v>
      </c>
      <c r="C509" s="7" t="s">
        <v>165</v>
      </c>
      <c r="D509" s="7" t="s">
        <v>162</v>
      </c>
      <c r="E509" s="24">
        <v>15553.999999999998</v>
      </c>
      <c r="F509"/>
    </row>
    <row r="510" spans="2:6" x14ac:dyDescent="0.25">
      <c r="B510" s="7" t="s">
        <v>202</v>
      </c>
      <c r="C510" s="7" t="s">
        <v>166</v>
      </c>
      <c r="D510" s="7" t="s">
        <v>167</v>
      </c>
      <c r="E510" s="24">
        <v>4736</v>
      </c>
      <c r="F510"/>
    </row>
    <row r="511" spans="2:6" x14ac:dyDescent="0.25">
      <c r="B511" s="7" t="s">
        <v>202</v>
      </c>
      <c r="C511" s="7" t="s">
        <v>168</v>
      </c>
      <c r="D511" s="7" t="s">
        <v>164</v>
      </c>
      <c r="E511" s="24">
        <v>42416</v>
      </c>
      <c r="F511"/>
    </row>
    <row r="512" spans="2:6" x14ac:dyDescent="0.25">
      <c r="B512" s="7" t="s">
        <v>202</v>
      </c>
      <c r="C512" s="7" t="s">
        <v>169</v>
      </c>
      <c r="D512" s="7" t="s">
        <v>159</v>
      </c>
      <c r="E512" s="24">
        <v>31254.999999999996</v>
      </c>
      <c r="F512"/>
    </row>
    <row r="513" spans="2:6" x14ac:dyDescent="0.25">
      <c r="B513" s="7" t="s">
        <v>202</v>
      </c>
      <c r="C513" s="7" t="s">
        <v>170</v>
      </c>
      <c r="D513" s="7" t="s">
        <v>159</v>
      </c>
      <c r="E513" s="24">
        <v>45743</v>
      </c>
      <c r="F513"/>
    </row>
    <row r="514" spans="2:6" x14ac:dyDescent="0.25">
      <c r="B514" s="7" t="s">
        <v>202</v>
      </c>
      <c r="C514" s="7" t="s">
        <v>193</v>
      </c>
      <c r="D514" s="7" t="s">
        <v>173</v>
      </c>
      <c r="E514" s="24">
        <v>6464</v>
      </c>
      <c r="F514"/>
    </row>
    <row r="515" spans="2:6" x14ac:dyDescent="0.25">
      <c r="B515" s="7" t="s">
        <v>202</v>
      </c>
      <c r="C515" s="7" t="s">
        <v>196</v>
      </c>
      <c r="D515" s="7" t="s">
        <v>167</v>
      </c>
      <c r="E515" s="24">
        <v>3280</v>
      </c>
      <c r="F515"/>
    </row>
    <row r="516" spans="2:6" x14ac:dyDescent="0.25">
      <c r="B516" s="7" t="s">
        <v>202</v>
      </c>
      <c r="C516" s="7" t="s">
        <v>191</v>
      </c>
      <c r="D516" s="7" t="s">
        <v>162</v>
      </c>
      <c r="E516" s="24">
        <v>781</v>
      </c>
      <c r="F516"/>
    </row>
    <row r="517" spans="2:6" x14ac:dyDescent="0.25">
      <c r="B517" s="7" t="s">
        <v>202</v>
      </c>
      <c r="C517" s="7" t="s">
        <v>184</v>
      </c>
      <c r="D517" s="7" t="s">
        <v>159</v>
      </c>
      <c r="E517" s="24">
        <v>5375.9999999999991</v>
      </c>
      <c r="F517"/>
    </row>
    <row r="518" spans="2:6" x14ac:dyDescent="0.25">
      <c r="B518" s="7" t="s">
        <v>202</v>
      </c>
      <c r="C518" s="7" t="s">
        <v>189</v>
      </c>
      <c r="D518" s="7" t="s">
        <v>164</v>
      </c>
      <c r="E518" s="24">
        <v>1847.9999999999998</v>
      </c>
      <c r="F518"/>
    </row>
    <row r="519" spans="2:6" x14ac:dyDescent="0.25">
      <c r="B519" s="7" t="s">
        <v>202</v>
      </c>
      <c r="C519" s="7" t="s">
        <v>172</v>
      </c>
      <c r="D519" s="7" t="s">
        <v>173</v>
      </c>
      <c r="E519" s="24">
        <v>28556</v>
      </c>
      <c r="F519"/>
    </row>
    <row r="520" spans="2:6" x14ac:dyDescent="0.25">
      <c r="B520" s="7" t="s">
        <v>202</v>
      </c>
      <c r="C520" s="7" t="s">
        <v>174</v>
      </c>
      <c r="D520" s="7" t="s">
        <v>159</v>
      </c>
      <c r="E520" s="24">
        <v>43239</v>
      </c>
      <c r="F520"/>
    </row>
    <row r="521" spans="2:6" x14ac:dyDescent="0.25">
      <c r="B521" s="7" t="s">
        <v>202</v>
      </c>
      <c r="C521" s="7" t="s">
        <v>194</v>
      </c>
      <c r="D521" s="7" t="s">
        <v>173</v>
      </c>
      <c r="E521" s="24">
        <v>20604</v>
      </c>
      <c r="F521"/>
    </row>
    <row r="522" spans="2:6" x14ac:dyDescent="0.25">
      <c r="B522" s="7" t="s">
        <v>202</v>
      </c>
      <c r="C522" s="7" t="s">
        <v>195</v>
      </c>
      <c r="D522" s="7" t="s">
        <v>162</v>
      </c>
      <c r="E522" s="24">
        <v>968.00000000000011</v>
      </c>
      <c r="F522"/>
    </row>
    <row r="523" spans="2:6" x14ac:dyDescent="0.25">
      <c r="B523" s="7" t="s">
        <v>202</v>
      </c>
      <c r="C523" s="7" t="s">
        <v>183</v>
      </c>
      <c r="D523" s="7" t="s">
        <v>167</v>
      </c>
      <c r="E523" s="24">
        <v>30652.000000000004</v>
      </c>
      <c r="F523"/>
    </row>
    <row r="524" spans="2:6" x14ac:dyDescent="0.25">
      <c r="B524" s="7" t="s">
        <v>202</v>
      </c>
      <c r="C524" s="7" t="s">
        <v>177</v>
      </c>
      <c r="D524" s="7" t="s">
        <v>173</v>
      </c>
      <c r="E524" s="24">
        <v>13910</v>
      </c>
      <c r="F524"/>
    </row>
    <row r="525" spans="2:6" x14ac:dyDescent="0.25">
      <c r="B525" s="7" t="s">
        <v>202</v>
      </c>
      <c r="C525" s="7" t="s">
        <v>188</v>
      </c>
      <c r="D525" s="7" t="s">
        <v>173</v>
      </c>
      <c r="E525" s="24">
        <v>9920</v>
      </c>
      <c r="F525"/>
    </row>
    <row r="526" spans="2:6" x14ac:dyDescent="0.25">
      <c r="B526" s="7" t="s">
        <v>202</v>
      </c>
      <c r="C526" s="7" t="s">
        <v>178</v>
      </c>
      <c r="D526" s="7" t="s">
        <v>173</v>
      </c>
      <c r="E526" s="24">
        <v>8284</v>
      </c>
      <c r="F526"/>
    </row>
    <row r="527" spans="2:6" x14ac:dyDescent="0.25">
      <c r="B527" s="7" t="s">
        <v>202</v>
      </c>
      <c r="C527" s="7" t="s">
        <v>190</v>
      </c>
      <c r="D527" s="7" t="s">
        <v>162</v>
      </c>
      <c r="E527" s="24">
        <v>1470</v>
      </c>
      <c r="F527"/>
    </row>
    <row r="528" spans="2:6" x14ac:dyDescent="0.25">
      <c r="B528" s="7" t="s">
        <v>202</v>
      </c>
      <c r="C528" s="7" t="s">
        <v>179</v>
      </c>
      <c r="D528" s="7" t="s">
        <v>164</v>
      </c>
      <c r="E528" s="24">
        <v>16524</v>
      </c>
      <c r="F528"/>
    </row>
    <row r="529" spans="2:6" x14ac:dyDescent="0.25">
      <c r="B529" s="7" t="s">
        <v>202</v>
      </c>
      <c r="C529" s="7" t="s">
        <v>180</v>
      </c>
      <c r="D529" s="7" t="s">
        <v>167</v>
      </c>
      <c r="E529" s="24">
        <v>36900</v>
      </c>
      <c r="F529"/>
    </row>
    <row r="530" spans="2:6" x14ac:dyDescent="0.25">
      <c r="B530" s="7" t="s">
        <v>202</v>
      </c>
      <c r="C530" s="7" t="s">
        <v>186</v>
      </c>
      <c r="D530" s="7" t="s">
        <v>167</v>
      </c>
      <c r="E530" s="24">
        <v>2185</v>
      </c>
      <c r="F530"/>
    </row>
    <row r="531" spans="2:6" x14ac:dyDescent="0.25">
      <c r="B531" s="7" t="s">
        <v>202</v>
      </c>
      <c r="C531" s="7" t="s">
        <v>181</v>
      </c>
      <c r="D531" s="7" t="s">
        <v>159</v>
      </c>
      <c r="E531" s="24">
        <v>5236</v>
      </c>
      <c r="F531"/>
    </row>
    <row r="532" spans="2:6" x14ac:dyDescent="0.25">
      <c r="B532" s="7" t="s">
        <v>202</v>
      </c>
      <c r="C532" s="7" t="s">
        <v>182</v>
      </c>
      <c r="D532" s="7" t="s">
        <v>162</v>
      </c>
      <c r="E532" s="24">
        <v>7820.0000000000009</v>
      </c>
      <c r="F532"/>
    </row>
  </sheetData>
  <sortState xmlns:xlrd2="http://schemas.microsoft.com/office/spreadsheetml/2017/richdata2" ref="F8:F41">
    <sortCondition ref="F8:F41"/>
  </sortState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AB35-1560-4EA5-92B5-4B3EF04A04CA}">
  <dimension ref="B7:N9"/>
  <sheetViews>
    <sheetView showGridLines="0" workbookViewId="0">
      <selection activeCell="J11" sqref="J11"/>
    </sheetView>
  </sheetViews>
  <sheetFormatPr defaultColWidth="9" defaultRowHeight="15" x14ac:dyDescent="0.25"/>
  <cols>
    <col min="1" max="1" width="9.42578125" style="2" bestFit="1" customWidth="1"/>
    <col min="2" max="2" width="8.7109375" style="2" customWidth="1"/>
    <col min="3" max="14" width="10.28515625" style="2" customWidth="1"/>
    <col min="15" max="16384" width="9" style="2"/>
  </cols>
  <sheetData>
    <row r="7" spans="2:14" x14ac:dyDescent="0.25">
      <c r="B7" s="4" t="s">
        <v>141</v>
      </c>
      <c r="C7" s="4" t="s">
        <v>146</v>
      </c>
      <c r="D7" s="4" t="s">
        <v>197</v>
      </c>
      <c r="E7" s="4" t="s">
        <v>198</v>
      </c>
      <c r="F7" s="4" t="s">
        <v>199</v>
      </c>
      <c r="G7" s="4" t="s">
        <v>200</v>
      </c>
      <c r="H7" s="4" t="s">
        <v>201</v>
      </c>
      <c r="I7" s="4" t="s">
        <v>202</v>
      </c>
      <c r="J7" s="4" t="s">
        <v>244</v>
      </c>
      <c r="K7" s="4" t="s">
        <v>245</v>
      </c>
      <c r="L7" s="4" t="s">
        <v>246</v>
      </c>
      <c r="M7" s="4" t="s">
        <v>247</v>
      </c>
      <c r="N7" s="4" t="s">
        <v>248</v>
      </c>
    </row>
    <row r="8" spans="2:14" x14ac:dyDescent="0.25">
      <c r="B8" s="1">
        <v>2023</v>
      </c>
      <c r="C8" s="27">
        <v>294893</v>
      </c>
      <c r="D8" s="27">
        <v>175232</v>
      </c>
      <c r="E8" s="27">
        <v>184467</v>
      </c>
      <c r="F8" s="27">
        <v>299043</v>
      </c>
      <c r="G8" s="27">
        <v>349807</v>
      </c>
      <c r="H8" s="24">
        <v>265012</v>
      </c>
      <c r="I8" s="24">
        <v>349418</v>
      </c>
      <c r="J8" s="24">
        <v>244756</v>
      </c>
      <c r="K8" s="24">
        <v>195019</v>
      </c>
      <c r="L8" s="24">
        <v>320579</v>
      </c>
      <c r="M8" s="24">
        <v>161883</v>
      </c>
      <c r="N8" s="24">
        <v>297003</v>
      </c>
    </row>
    <row r="9" spans="2:14" x14ac:dyDescent="0.25">
      <c r="B9" s="7">
        <v>2024</v>
      </c>
      <c r="C9" s="24">
        <v>447949</v>
      </c>
      <c r="D9" s="24">
        <v>299955</v>
      </c>
      <c r="E9" s="24">
        <v>228044</v>
      </c>
      <c r="F9" s="24">
        <v>390010</v>
      </c>
      <c r="G9" s="24">
        <v>432002</v>
      </c>
      <c r="H9" s="24">
        <v>256971</v>
      </c>
      <c r="I9" s="24">
        <v>261487</v>
      </c>
      <c r="J9" s="24">
        <v>191278</v>
      </c>
      <c r="K9" s="24"/>
      <c r="L9" s="24"/>
      <c r="M9" s="24"/>
      <c r="N9" s="24"/>
    </row>
  </sheetData>
  <phoneticPr fontId="1" type="noConversion"/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608C-6374-45D4-B1D4-767BB803A669}">
  <dimension ref="A2:K541"/>
  <sheetViews>
    <sheetView showGridLines="0" topLeftCell="A13" workbookViewId="0">
      <selection activeCell="I25" sqref="I25"/>
    </sheetView>
  </sheetViews>
  <sheetFormatPr defaultColWidth="9" defaultRowHeight="15" x14ac:dyDescent="0.25"/>
  <cols>
    <col min="1" max="1" width="9.42578125" style="2" bestFit="1" customWidth="1"/>
    <col min="2" max="2" width="22.5703125" style="2" customWidth="1"/>
    <col min="3" max="3" width="27.42578125" style="2" customWidth="1"/>
    <col min="4" max="4" width="10.140625" style="2" bestFit="1" customWidth="1"/>
    <col min="5" max="5" width="9" style="2"/>
    <col min="6" max="6" width="26.5703125" style="2" bestFit="1" customWidth="1"/>
    <col min="7" max="7" width="7.140625" style="2" bestFit="1" customWidth="1"/>
    <col min="8" max="10" width="27.140625" style="2" bestFit="1" customWidth="1"/>
    <col min="11" max="11" width="15" style="2" bestFit="1" customWidth="1"/>
    <col min="12" max="16384" width="9" style="2"/>
  </cols>
  <sheetData>
    <row r="2" spans="1:8" x14ac:dyDescent="0.25">
      <c r="F2"/>
      <c r="G2"/>
      <c r="H2"/>
    </row>
    <row r="3" spans="1:8" x14ac:dyDescent="0.25">
      <c r="F3"/>
      <c r="G3"/>
      <c r="H3"/>
    </row>
    <row r="4" spans="1:8" x14ac:dyDescent="0.25">
      <c r="F4"/>
      <c r="G4"/>
      <c r="H4"/>
    </row>
    <row r="5" spans="1:8" x14ac:dyDescent="0.25">
      <c r="F5"/>
      <c r="G5"/>
      <c r="H5"/>
    </row>
    <row r="6" spans="1:8" x14ac:dyDescent="0.25">
      <c r="F6"/>
      <c r="G6"/>
      <c r="H6"/>
    </row>
    <row r="7" spans="1:8" x14ac:dyDescent="0.25">
      <c r="F7"/>
      <c r="G7"/>
      <c r="H7"/>
    </row>
    <row r="8" spans="1:8" x14ac:dyDescent="0.25">
      <c r="F8"/>
      <c r="G8"/>
      <c r="H8"/>
    </row>
    <row r="9" spans="1:8" x14ac:dyDescent="0.25">
      <c r="F9"/>
      <c r="G9"/>
      <c r="H9"/>
    </row>
    <row r="10" spans="1:8" x14ac:dyDescent="0.25">
      <c r="F10"/>
      <c r="G10"/>
      <c r="H10"/>
    </row>
    <row r="11" spans="1:8" x14ac:dyDescent="0.25">
      <c r="F11"/>
      <c r="G11"/>
      <c r="H11"/>
    </row>
    <row r="12" spans="1:8" x14ac:dyDescent="0.25">
      <c r="F12"/>
      <c r="G12"/>
      <c r="H12"/>
    </row>
    <row r="13" spans="1:8" x14ac:dyDescent="0.25">
      <c r="F13"/>
      <c r="G13"/>
      <c r="H13"/>
    </row>
    <row r="14" spans="1:8" x14ac:dyDescent="0.25">
      <c r="F14"/>
      <c r="G14"/>
      <c r="H14"/>
    </row>
    <row r="15" spans="1:8" x14ac:dyDescent="0.25">
      <c r="F15"/>
      <c r="G15"/>
      <c r="H15"/>
    </row>
    <row r="16" spans="1:8" x14ac:dyDescent="0.25">
      <c r="A16" s="4" t="s">
        <v>142</v>
      </c>
      <c r="B16" s="4" t="s">
        <v>155</v>
      </c>
      <c r="C16" s="4" t="s">
        <v>156</v>
      </c>
      <c r="D16" s="4" t="s">
        <v>157</v>
      </c>
      <c r="F16"/>
      <c r="G16"/>
      <c r="H16"/>
    </row>
    <row r="17" spans="1:11" x14ac:dyDescent="0.25">
      <c r="A17" s="7" t="s">
        <v>146</v>
      </c>
      <c r="B17" s="6" t="s">
        <v>158</v>
      </c>
      <c r="C17" s="6" t="s">
        <v>159</v>
      </c>
      <c r="D17" s="23">
        <v>10955</v>
      </c>
      <c r="F17"/>
      <c r="G17"/>
      <c r="H17"/>
    </row>
    <row r="18" spans="1:11" x14ac:dyDescent="0.25">
      <c r="A18" s="7" t="s">
        <v>146</v>
      </c>
      <c r="B18" s="6" t="s">
        <v>160</v>
      </c>
      <c r="C18" s="6" t="s">
        <v>159</v>
      </c>
      <c r="D18" s="23">
        <v>1292</v>
      </c>
      <c r="F18"/>
      <c r="G18"/>
      <c r="H18"/>
    </row>
    <row r="19" spans="1:11" x14ac:dyDescent="0.25">
      <c r="A19" s="7" t="s">
        <v>146</v>
      </c>
      <c r="B19" s="6" t="s">
        <v>192</v>
      </c>
      <c r="C19" s="6" t="s">
        <v>173</v>
      </c>
      <c r="D19" s="23">
        <v>69156</v>
      </c>
      <c r="F19"/>
      <c r="G19"/>
      <c r="H19"/>
    </row>
    <row r="20" spans="1:11" x14ac:dyDescent="0.25">
      <c r="A20" s="7" t="s">
        <v>146</v>
      </c>
      <c r="B20" s="6" t="s">
        <v>166</v>
      </c>
      <c r="C20" s="6" t="s">
        <v>167</v>
      </c>
      <c r="D20" s="23">
        <v>7992</v>
      </c>
      <c r="F20"/>
      <c r="G20"/>
      <c r="H20"/>
    </row>
    <row r="21" spans="1:11" x14ac:dyDescent="0.25">
      <c r="A21" s="7" t="s">
        <v>146</v>
      </c>
      <c r="B21" s="6" t="s">
        <v>168</v>
      </c>
      <c r="C21" s="6" t="s">
        <v>164</v>
      </c>
      <c r="D21" s="23">
        <v>113752</v>
      </c>
    </row>
    <row r="22" spans="1:11" x14ac:dyDescent="0.25">
      <c r="A22" s="7" t="s">
        <v>146</v>
      </c>
      <c r="B22" s="6" t="s">
        <v>169</v>
      </c>
      <c r="C22" s="6" t="s">
        <v>159</v>
      </c>
      <c r="D22" s="23">
        <v>3856.9999999999995</v>
      </c>
    </row>
    <row r="23" spans="1:11" x14ac:dyDescent="0.25">
      <c r="A23" s="7" t="s">
        <v>146</v>
      </c>
      <c r="B23" s="6" t="s">
        <v>170</v>
      </c>
      <c r="C23" s="6" t="s">
        <v>159</v>
      </c>
      <c r="D23" s="23">
        <v>1842</v>
      </c>
    </row>
    <row r="24" spans="1:11" x14ac:dyDescent="0.25">
      <c r="A24" s="7" t="s">
        <v>146</v>
      </c>
      <c r="B24" s="6" t="s">
        <v>193</v>
      </c>
      <c r="C24" s="6" t="s">
        <v>173</v>
      </c>
      <c r="D24" s="23">
        <v>2560</v>
      </c>
    </row>
    <row r="25" spans="1:11" x14ac:dyDescent="0.25">
      <c r="A25" s="7" t="s">
        <v>146</v>
      </c>
      <c r="B25" s="6" t="s">
        <v>191</v>
      </c>
      <c r="C25" s="6" t="s">
        <v>162</v>
      </c>
      <c r="D25" s="23">
        <v>781</v>
      </c>
      <c r="F25" s="42" t="s">
        <v>382</v>
      </c>
      <c r="G25" t="s">
        <v>383</v>
      </c>
      <c r="H25"/>
      <c r="I25"/>
      <c r="J25"/>
      <c r="K25"/>
    </row>
    <row r="26" spans="1:11" x14ac:dyDescent="0.25">
      <c r="A26" s="7" t="s">
        <v>146</v>
      </c>
      <c r="B26" s="6" t="s">
        <v>171</v>
      </c>
      <c r="C26" s="6" t="s">
        <v>164</v>
      </c>
      <c r="D26" s="23">
        <v>2106</v>
      </c>
      <c r="F26" s="43" t="s">
        <v>173</v>
      </c>
      <c r="G26" s="44">
        <v>0.37046381547685836</v>
      </c>
      <c r="H26"/>
      <c r="I26"/>
      <c r="J26"/>
      <c r="K26"/>
    </row>
    <row r="27" spans="1:11" x14ac:dyDescent="0.25">
      <c r="A27" s="7" t="s">
        <v>146</v>
      </c>
      <c r="B27" s="6" t="s">
        <v>184</v>
      </c>
      <c r="C27" s="6" t="s">
        <v>159</v>
      </c>
      <c r="D27" s="23">
        <v>2351.9999999999995</v>
      </c>
      <c r="F27" s="43" t="s">
        <v>164</v>
      </c>
      <c r="G27" s="44">
        <v>0.26073533447750408</v>
      </c>
      <c r="H27"/>
    </row>
    <row r="28" spans="1:11" x14ac:dyDescent="0.25">
      <c r="A28" s="7" t="s">
        <v>146</v>
      </c>
      <c r="B28" s="6" t="s">
        <v>189</v>
      </c>
      <c r="C28" s="6" t="s">
        <v>164</v>
      </c>
      <c r="D28" s="23">
        <v>7161</v>
      </c>
      <c r="F28" s="43" t="s">
        <v>159</v>
      </c>
      <c r="G28" s="44">
        <v>0.2203217513924412</v>
      </c>
      <c r="H28"/>
    </row>
    <row r="29" spans="1:11" x14ac:dyDescent="0.25">
      <c r="A29" s="7" t="s">
        <v>146</v>
      </c>
      <c r="B29" s="6" t="s">
        <v>172</v>
      </c>
      <c r="C29" s="6" t="s">
        <v>173</v>
      </c>
      <c r="D29" s="23">
        <v>4248</v>
      </c>
      <c r="F29" s="43" t="s">
        <v>167</v>
      </c>
      <c r="G29" s="44">
        <v>0.10721789761734386</v>
      </c>
      <c r="H29"/>
    </row>
    <row r="30" spans="1:11" x14ac:dyDescent="0.25">
      <c r="A30" s="7" t="s">
        <v>146</v>
      </c>
      <c r="B30" s="6" t="s">
        <v>174</v>
      </c>
      <c r="C30" s="6" t="s">
        <v>159</v>
      </c>
      <c r="D30" s="23">
        <v>6390</v>
      </c>
      <c r="F30" s="43" t="s">
        <v>162</v>
      </c>
      <c r="G30" s="44">
        <v>4.1261201035852492E-2</v>
      </c>
      <c r="H30"/>
    </row>
    <row r="31" spans="1:11" x14ac:dyDescent="0.25">
      <c r="A31" s="7" t="s">
        <v>146</v>
      </c>
      <c r="B31" s="6" t="s">
        <v>194</v>
      </c>
      <c r="C31" s="6" t="s">
        <v>173</v>
      </c>
      <c r="D31" s="23">
        <v>37740</v>
      </c>
      <c r="F31"/>
      <c r="G31"/>
      <c r="H31"/>
    </row>
    <row r="32" spans="1:11" x14ac:dyDescent="0.25">
      <c r="A32" s="7" t="s">
        <v>146</v>
      </c>
      <c r="B32" s="6" t="s">
        <v>187</v>
      </c>
      <c r="C32" s="6" t="s">
        <v>167</v>
      </c>
      <c r="D32" s="23">
        <v>809.99999999999989</v>
      </c>
      <c r="F32"/>
      <c r="G32"/>
      <c r="H32"/>
    </row>
    <row r="33" spans="1:8" x14ac:dyDescent="0.25">
      <c r="A33" s="7" t="s">
        <v>146</v>
      </c>
      <c r="B33" s="6" t="s">
        <v>175</v>
      </c>
      <c r="C33" s="6" t="s">
        <v>167</v>
      </c>
      <c r="D33" s="23">
        <v>14700</v>
      </c>
      <c r="F33"/>
      <c r="G33"/>
      <c r="H33"/>
    </row>
    <row r="34" spans="1:8" x14ac:dyDescent="0.25">
      <c r="A34" s="7" t="s">
        <v>146</v>
      </c>
      <c r="B34" s="6" t="s">
        <v>176</v>
      </c>
      <c r="C34" s="6" t="s">
        <v>164</v>
      </c>
      <c r="D34" s="23">
        <v>11832</v>
      </c>
      <c r="F34"/>
      <c r="G34"/>
      <c r="H34"/>
    </row>
    <row r="35" spans="1:8" x14ac:dyDescent="0.25">
      <c r="A35" s="7" t="s">
        <v>146</v>
      </c>
      <c r="B35" s="6" t="s">
        <v>195</v>
      </c>
      <c r="C35" s="6" t="s">
        <v>162</v>
      </c>
      <c r="D35" s="23">
        <v>2057</v>
      </c>
      <c r="F35"/>
      <c r="G35"/>
      <c r="H35"/>
    </row>
    <row r="36" spans="1:8" x14ac:dyDescent="0.25">
      <c r="A36" s="7" t="s">
        <v>146</v>
      </c>
      <c r="B36" s="6" t="s">
        <v>183</v>
      </c>
      <c r="C36" s="6" t="s">
        <v>167</v>
      </c>
      <c r="D36" s="23">
        <v>10112</v>
      </c>
      <c r="F36"/>
      <c r="G36"/>
      <c r="H36"/>
    </row>
    <row r="37" spans="1:8" x14ac:dyDescent="0.25">
      <c r="A37" s="7" t="s">
        <v>146</v>
      </c>
      <c r="B37" s="6" t="s">
        <v>177</v>
      </c>
      <c r="C37" s="6" t="s">
        <v>173</v>
      </c>
      <c r="D37" s="23">
        <v>29639</v>
      </c>
      <c r="F37"/>
      <c r="G37"/>
      <c r="H37"/>
    </row>
    <row r="38" spans="1:8" x14ac:dyDescent="0.25">
      <c r="A38" s="7" t="s">
        <v>146</v>
      </c>
      <c r="B38" s="6" t="s">
        <v>178</v>
      </c>
      <c r="C38" s="6" t="s">
        <v>173</v>
      </c>
      <c r="D38" s="23">
        <v>2725</v>
      </c>
      <c r="F38"/>
      <c r="G38"/>
      <c r="H38"/>
    </row>
    <row r="39" spans="1:8" x14ac:dyDescent="0.25">
      <c r="A39" s="7" t="s">
        <v>146</v>
      </c>
      <c r="B39" s="6" t="s">
        <v>179</v>
      </c>
      <c r="C39" s="6" t="s">
        <v>164</v>
      </c>
      <c r="D39" s="23">
        <v>9078</v>
      </c>
      <c r="F39"/>
      <c r="G39"/>
      <c r="H39"/>
    </row>
    <row r="40" spans="1:8" x14ac:dyDescent="0.25">
      <c r="A40" s="7" t="s">
        <v>146</v>
      </c>
      <c r="B40" s="6" t="s">
        <v>180</v>
      </c>
      <c r="C40" s="6" t="s">
        <v>167</v>
      </c>
      <c r="D40" s="23">
        <v>1980.0000000000002</v>
      </c>
      <c r="F40"/>
      <c r="G40"/>
      <c r="H40"/>
    </row>
    <row r="41" spans="1:8" x14ac:dyDescent="0.25">
      <c r="A41" s="7" t="s">
        <v>146</v>
      </c>
      <c r="B41" s="6" t="s">
        <v>186</v>
      </c>
      <c r="C41" s="6" t="s">
        <v>167</v>
      </c>
      <c r="D41" s="23">
        <v>874</v>
      </c>
      <c r="F41"/>
      <c r="G41"/>
      <c r="H41"/>
    </row>
    <row r="42" spans="1:8" x14ac:dyDescent="0.25">
      <c r="A42" s="7" t="s">
        <v>146</v>
      </c>
      <c r="B42" s="6" t="s">
        <v>181</v>
      </c>
      <c r="C42" s="6" t="s">
        <v>159</v>
      </c>
      <c r="D42" s="23">
        <v>5950</v>
      </c>
      <c r="F42"/>
      <c r="G42"/>
      <c r="H42"/>
    </row>
    <row r="43" spans="1:8" x14ac:dyDescent="0.25">
      <c r="A43" s="7" t="s">
        <v>146</v>
      </c>
      <c r="B43" s="6" t="s">
        <v>182</v>
      </c>
      <c r="C43" s="6" t="s">
        <v>162</v>
      </c>
      <c r="D43" s="23">
        <v>8740</v>
      </c>
    </row>
    <row r="44" spans="1:8" x14ac:dyDescent="0.25">
      <c r="A44" s="7" t="s">
        <v>146</v>
      </c>
      <c r="B44" s="6" t="s">
        <v>185</v>
      </c>
      <c r="C44" s="6" t="s">
        <v>164</v>
      </c>
      <c r="D44" s="23">
        <v>2988</v>
      </c>
    </row>
    <row r="45" spans="1:8" x14ac:dyDescent="0.25">
      <c r="A45" s="7" t="s">
        <v>146</v>
      </c>
      <c r="B45" s="6" t="s">
        <v>158</v>
      </c>
      <c r="C45" s="6" t="s">
        <v>159</v>
      </c>
      <c r="D45" s="23">
        <v>15024</v>
      </c>
    </row>
    <row r="46" spans="1:8" x14ac:dyDescent="0.25">
      <c r="A46" s="7" t="s">
        <v>146</v>
      </c>
      <c r="B46" s="6" t="s">
        <v>160</v>
      </c>
      <c r="C46" s="6" t="s">
        <v>159</v>
      </c>
      <c r="D46" s="23">
        <v>340</v>
      </c>
    </row>
    <row r="47" spans="1:8" x14ac:dyDescent="0.25">
      <c r="A47" s="7" t="s">
        <v>146</v>
      </c>
      <c r="B47" s="6" t="s">
        <v>192</v>
      </c>
      <c r="C47" s="6" t="s">
        <v>173</v>
      </c>
      <c r="D47" s="23">
        <v>91530</v>
      </c>
    </row>
    <row r="48" spans="1:8" x14ac:dyDescent="0.25">
      <c r="A48" s="7" t="s">
        <v>146</v>
      </c>
      <c r="B48" s="6" t="s">
        <v>165</v>
      </c>
      <c r="C48" s="6" t="s">
        <v>162</v>
      </c>
      <c r="D48" s="23">
        <v>12524</v>
      </c>
    </row>
    <row r="49" spans="1:4" x14ac:dyDescent="0.25">
      <c r="A49" s="7" t="s">
        <v>146</v>
      </c>
      <c r="B49" s="6" t="s">
        <v>166</v>
      </c>
      <c r="C49" s="6" t="s">
        <v>167</v>
      </c>
      <c r="D49" s="23">
        <v>11692</v>
      </c>
    </row>
    <row r="50" spans="1:4" x14ac:dyDescent="0.25">
      <c r="A50" s="7" t="s">
        <v>146</v>
      </c>
      <c r="B50" s="6" t="s">
        <v>168</v>
      </c>
      <c r="C50" s="6" t="s">
        <v>164</v>
      </c>
      <c r="D50" s="23">
        <v>93508</v>
      </c>
    </row>
    <row r="51" spans="1:4" x14ac:dyDescent="0.25">
      <c r="A51" s="7" t="s">
        <v>146</v>
      </c>
      <c r="B51" s="6" t="s">
        <v>169</v>
      </c>
      <c r="C51" s="6" t="s">
        <v>159</v>
      </c>
      <c r="D51" s="23">
        <v>3856.9999999999995</v>
      </c>
    </row>
    <row r="52" spans="1:4" x14ac:dyDescent="0.25">
      <c r="A52" s="7" t="s">
        <v>146</v>
      </c>
      <c r="B52" s="6" t="s">
        <v>170</v>
      </c>
      <c r="C52" s="6" t="s">
        <v>159</v>
      </c>
      <c r="D52" s="23">
        <v>13508</v>
      </c>
    </row>
    <row r="53" spans="1:4" x14ac:dyDescent="0.25">
      <c r="A53" s="7" t="s">
        <v>146</v>
      </c>
      <c r="B53" s="6" t="s">
        <v>193</v>
      </c>
      <c r="C53" s="6" t="s">
        <v>173</v>
      </c>
      <c r="D53" s="23">
        <v>2688</v>
      </c>
    </row>
    <row r="54" spans="1:4" x14ac:dyDescent="0.25">
      <c r="A54" s="7" t="s">
        <v>146</v>
      </c>
      <c r="B54" s="6" t="s">
        <v>189</v>
      </c>
      <c r="C54" s="6" t="s">
        <v>164</v>
      </c>
      <c r="D54" s="23">
        <v>6699</v>
      </c>
    </row>
    <row r="55" spans="1:4" x14ac:dyDescent="0.25">
      <c r="A55" s="7" t="s">
        <v>146</v>
      </c>
      <c r="B55" s="6" t="s">
        <v>174</v>
      </c>
      <c r="C55" s="6" t="s">
        <v>159</v>
      </c>
      <c r="D55" s="23">
        <v>18318</v>
      </c>
    </row>
    <row r="56" spans="1:4" x14ac:dyDescent="0.25">
      <c r="A56" s="7" t="s">
        <v>146</v>
      </c>
      <c r="B56" s="6" t="s">
        <v>194</v>
      </c>
      <c r="C56" s="6" t="s">
        <v>173</v>
      </c>
      <c r="D56" s="23">
        <v>58956</v>
      </c>
    </row>
    <row r="57" spans="1:4" x14ac:dyDescent="0.25">
      <c r="A57" s="7" t="s">
        <v>146</v>
      </c>
      <c r="B57" s="6" t="s">
        <v>183</v>
      </c>
      <c r="C57" s="6" t="s">
        <v>167</v>
      </c>
      <c r="D57" s="23">
        <v>8216</v>
      </c>
    </row>
    <row r="58" spans="1:4" x14ac:dyDescent="0.25">
      <c r="A58" s="7" t="s">
        <v>146</v>
      </c>
      <c r="B58" s="6" t="s">
        <v>177</v>
      </c>
      <c r="C58" s="6" t="s">
        <v>173</v>
      </c>
      <c r="D58" s="23">
        <v>23540</v>
      </c>
    </row>
    <row r="59" spans="1:4" x14ac:dyDescent="0.25">
      <c r="A59" s="7" t="s">
        <v>146</v>
      </c>
      <c r="B59" s="6" t="s">
        <v>188</v>
      </c>
      <c r="C59" s="6" t="s">
        <v>173</v>
      </c>
      <c r="D59" s="23">
        <v>5456</v>
      </c>
    </row>
    <row r="60" spans="1:4" x14ac:dyDescent="0.25">
      <c r="A60" s="7" t="s">
        <v>146</v>
      </c>
      <c r="B60" s="6" t="s">
        <v>178</v>
      </c>
      <c r="C60" s="6" t="s">
        <v>173</v>
      </c>
      <c r="D60" s="23">
        <v>1090</v>
      </c>
    </row>
    <row r="61" spans="1:4" x14ac:dyDescent="0.25">
      <c r="A61" s="7" t="s">
        <v>146</v>
      </c>
      <c r="B61" s="6" t="s">
        <v>179</v>
      </c>
      <c r="C61" s="6" t="s">
        <v>164</v>
      </c>
      <c r="D61" s="23">
        <v>7446</v>
      </c>
    </row>
    <row r="62" spans="1:4" x14ac:dyDescent="0.25">
      <c r="A62" s="7" t="s">
        <v>146</v>
      </c>
      <c r="B62" s="6" t="s">
        <v>180</v>
      </c>
      <c r="C62" s="6" t="s">
        <v>167</v>
      </c>
      <c r="D62" s="23">
        <v>4140</v>
      </c>
    </row>
    <row r="63" spans="1:4" x14ac:dyDescent="0.25">
      <c r="A63" s="7" t="s">
        <v>146</v>
      </c>
      <c r="B63" s="6" t="s">
        <v>181</v>
      </c>
      <c r="C63" s="6" t="s">
        <v>159</v>
      </c>
      <c r="D63" s="23">
        <v>1666</v>
      </c>
    </row>
    <row r="64" spans="1:4" x14ac:dyDescent="0.25">
      <c r="A64" s="7" t="s">
        <v>146</v>
      </c>
      <c r="B64" s="6" t="s">
        <v>182</v>
      </c>
      <c r="C64" s="6" t="s">
        <v>162</v>
      </c>
      <c r="D64" s="23">
        <v>5750</v>
      </c>
    </row>
    <row r="65" spans="1:4" x14ac:dyDescent="0.25">
      <c r="A65" s="7" t="s">
        <v>146</v>
      </c>
      <c r="B65" s="6" t="s">
        <v>158</v>
      </c>
      <c r="C65" s="6" t="s">
        <v>159</v>
      </c>
      <c r="D65" s="23">
        <v>37560</v>
      </c>
    </row>
    <row r="66" spans="1:4" x14ac:dyDescent="0.25">
      <c r="A66" s="7" t="s">
        <v>146</v>
      </c>
      <c r="B66" s="6" t="s">
        <v>160</v>
      </c>
      <c r="C66" s="6" t="s">
        <v>159</v>
      </c>
      <c r="D66" s="23">
        <v>5168</v>
      </c>
    </row>
    <row r="67" spans="1:4" x14ac:dyDescent="0.25">
      <c r="A67" s="7" t="s">
        <v>146</v>
      </c>
      <c r="B67" s="6" t="s">
        <v>192</v>
      </c>
      <c r="C67" s="6" t="s">
        <v>173</v>
      </c>
      <c r="D67" s="23">
        <v>28137</v>
      </c>
    </row>
    <row r="68" spans="1:4" x14ac:dyDescent="0.25">
      <c r="A68" s="7" t="s">
        <v>146</v>
      </c>
      <c r="B68" s="6" t="s">
        <v>165</v>
      </c>
      <c r="C68" s="6" t="s">
        <v>162</v>
      </c>
      <c r="D68" s="23">
        <v>13130</v>
      </c>
    </row>
    <row r="69" spans="1:4" x14ac:dyDescent="0.25">
      <c r="A69" s="7" t="s">
        <v>146</v>
      </c>
      <c r="B69" s="6" t="s">
        <v>166</v>
      </c>
      <c r="C69" s="6" t="s">
        <v>167</v>
      </c>
      <c r="D69" s="23">
        <v>6512</v>
      </c>
    </row>
    <row r="70" spans="1:4" x14ac:dyDescent="0.25">
      <c r="A70" s="7" t="s">
        <v>146</v>
      </c>
      <c r="B70" s="6" t="s">
        <v>169</v>
      </c>
      <c r="C70" s="6" t="s">
        <v>159</v>
      </c>
      <c r="D70" s="23">
        <v>4788</v>
      </c>
    </row>
    <row r="71" spans="1:4" x14ac:dyDescent="0.25">
      <c r="A71" s="7" t="s">
        <v>146</v>
      </c>
      <c r="B71" s="6" t="s">
        <v>170</v>
      </c>
      <c r="C71" s="6" t="s">
        <v>159</v>
      </c>
      <c r="D71" s="23">
        <v>25174</v>
      </c>
    </row>
    <row r="72" spans="1:4" x14ac:dyDescent="0.25">
      <c r="A72" s="7" t="s">
        <v>146</v>
      </c>
      <c r="B72" s="6" t="s">
        <v>193</v>
      </c>
      <c r="C72" s="6" t="s">
        <v>173</v>
      </c>
      <c r="D72" s="23">
        <v>4160</v>
      </c>
    </row>
    <row r="73" spans="1:4" x14ac:dyDescent="0.25">
      <c r="A73" s="7" t="s">
        <v>146</v>
      </c>
      <c r="B73" s="6" t="s">
        <v>191</v>
      </c>
      <c r="C73" s="6" t="s">
        <v>162</v>
      </c>
      <c r="D73" s="23">
        <v>2982</v>
      </c>
    </row>
    <row r="74" spans="1:4" x14ac:dyDescent="0.25">
      <c r="A74" s="7" t="s">
        <v>146</v>
      </c>
      <c r="B74" s="6" t="s">
        <v>171</v>
      </c>
      <c r="C74" s="6" t="s">
        <v>164</v>
      </c>
      <c r="D74" s="23">
        <v>14742</v>
      </c>
    </row>
    <row r="75" spans="1:4" x14ac:dyDescent="0.25">
      <c r="A75" s="7" t="s">
        <v>146</v>
      </c>
      <c r="B75" s="6" t="s">
        <v>184</v>
      </c>
      <c r="C75" s="6" t="s">
        <v>159</v>
      </c>
      <c r="D75" s="23">
        <v>2575.9999999999995</v>
      </c>
    </row>
    <row r="76" spans="1:4" x14ac:dyDescent="0.25">
      <c r="A76" s="7" t="s">
        <v>146</v>
      </c>
      <c r="B76" s="6" t="s">
        <v>189</v>
      </c>
      <c r="C76" s="6" t="s">
        <v>164</v>
      </c>
      <c r="D76" s="23">
        <v>6930</v>
      </c>
    </row>
    <row r="77" spans="1:4" x14ac:dyDescent="0.25">
      <c r="A77" s="7" t="s">
        <v>146</v>
      </c>
      <c r="B77" s="6" t="s">
        <v>172</v>
      </c>
      <c r="C77" s="6" t="s">
        <v>173</v>
      </c>
      <c r="D77" s="23">
        <v>16048</v>
      </c>
    </row>
    <row r="78" spans="1:4" x14ac:dyDescent="0.25">
      <c r="A78" s="7" t="s">
        <v>146</v>
      </c>
      <c r="B78" s="6" t="s">
        <v>174</v>
      </c>
      <c r="C78" s="6" t="s">
        <v>159</v>
      </c>
      <c r="D78" s="23">
        <v>12567</v>
      </c>
    </row>
    <row r="79" spans="1:4" x14ac:dyDescent="0.25">
      <c r="A79" s="7" t="s">
        <v>146</v>
      </c>
      <c r="B79" s="6" t="s">
        <v>194</v>
      </c>
      <c r="C79" s="6" t="s">
        <v>173</v>
      </c>
      <c r="D79" s="23">
        <v>9384</v>
      </c>
    </row>
    <row r="80" spans="1:4" x14ac:dyDescent="0.25">
      <c r="A80" s="7" t="s">
        <v>146</v>
      </c>
      <c r="B80" s="6" t="s">
        <v>175</v>
      </c>
      <c r="C80" s="6" t="s">
        <v>167</v>
      </c>
      <c r="D80" s="23">
        <v>2520</v>
      </c>
    </row>
    <row r="81" spans="1:4" x14ac:dyDescent="0.25">
      <c r="A81" s="7" t="s">
        <v>146</v>
      </c>
      <c r="B81" s="6" t="s">
        <v>195</v>
      </c>
      <c r="C81" s="6" t="s">
        <v>162</v>
      </c>
      <c r="D81" s="23">
        <v>1331</v>
      </c>
    </row>
    <row r="82" spans="1:4" x14ac:dyDescent="0.25">
      <c r="A82" s="7" t="s">
        <v>146</v>
      </c>
      <c r="B82" s="6" t="s">
        <v>183</v>
      </c>
      <c r="C82" s="6" t="s">
        <v>167</v>
      </c>
      <c r="D82" s="23">
        <v>42976</v>
      </c>
    </row>
    <row r="83" spans="1:4" x14ac:dyDescent="0.25">
      <c r="A83" s="7" t="s">
        <v>146</v>
      </c>
      <c r="B83" s="6" t="s">
        <v>177</v>
      </c>
      <c r="C83" s="6" t="s">
        <v>173</v>
      </c>
      <c r="D83" s="23">
        <v>20651</v>
      </c>
    </row>
    <row r="84" spans="1:4" x14ac:dyDescent="0.25">
      <c r="A84" s="7" t="s">
        <v>146</v>
      </c>
      <c r="B84" s="6" t="s">
        <v>188</v>
      </c>
      <c r="C84" s="6" t="s">
        <v>173</v>
      </c>
      <c r="D84" s="23">
        <v>496</v>
      </c>
    </row>
    <row r="85" spans="1:4" x14ac:dyDescent="0.25">
      <c r="A85" s="7" t="s">
        <v>146</v>
      </c>
      <c r="B85" s="6" t="s">
        <v>178</v>
      </c>
      <c r="C85" s="6" t="s">
        <v>173</v>
      </c>
      <c r="D85" s="23">
        <v>4687</v>
      </c>
    </row>
    <row r="86" spans="1:4" x14ac:dyDescent="0.25">
      <c r="A86" s="7" t="s">
        <v>146</v>
      </c>
      <c r="B86" s="6" t="s">
        <v>190</v>
      </c>
      <c r="C86" s="6" t="s">
        <v>162</v>
      </c>
      <c r="D86" s="23">
        <v>672</v>
      </c>
    </row>
    <row r="87" spans="1:4" x14ac:dyDescent="0.25">
      <c r="A87" s="7" t="s">
        <v>146</v>
      </c>
      <c r="B87" s="6" t="s">
        <v>179</v>
      </c>
      <c r="C87" s="6" t="s">
        <v>164</v>
      </c>
      <c r="D87" s="23">
        <v>23766</v>
      </c>
    </row>
    <row r="88" spans="1:4" x14ac:dyDescent="0.25">
      <c r="A88" s="7" t="s">
        <v>146</v>
      </c>
      <c r="B88" s="6" t="s">
        <v>180</v>
      </c>
      <c r="C88" s="6" t="s">
        <v>167</v>
      </c>
      <c r="D88" s="23">
        <v>6120</v>
      </c>
    </row>
    <row r="89" spans="1:4" x14ac:dyDescent="0.25">
      <c r="A89" s="7" t="s">
        <v>146</v>
      </c>
      <c r="B89" s="6" t="s">
        <v>182</v>
      </c>
      <c r="C89" s="6" t="s">
        <v>162</v>
      </c>
      <c r="D89" s="23">
        <v>9890</v>
      </c>
    </row>
    <row r="90" spans="1:4" x14ac:dyDescent="0.25">
      <c r="A90" s="7" t="s">
        <v>197</v>
      </c>
      <c r="B90" s="6" t="s">
        <v>158</v>
      </c>
      <c r="C90" s="6" t="s">
        <v>159</v>
      </c>
      <c r="D90" s="23">
        <v>31926.000000000004</v>
      </c>
    </row>
    <row r="91" spans="1:4" x14ac:dyDescent="0.25">
      <c r="A91" s="7" t="s">
        <v>197</v>
      </c>
      <c r="B91" s="6" t="s">
        <v>160</v>
      </c>
      <c r="C91" s="6" t="s">
        <v>159</v>
      </c>
      <c r="D91" s="23">
        <v>1292</v>
      </c>
    </row>
    <row r="92" spans="1:4" x14ac:dyDescent="0.25">
      <c r="A92" s="7" t="s">
        <v>197</v>
      </c>
      <c r="B92" s="6" t="s">
        <v>192</v>
      </c>
      <c r="C92" s="6" t="s">
        <v>173</v>
      </c>
      <c r="D92" s="23">
        <v>67461</v>
      </c>
    </row>
    <row r="93" spans="1:4" x14ac:dyDescent="0.25">
      <c r="A93" s="7" t="s">
        <v>197</v>
      </c>
      <c r="B93" s="6" t="s">
        <v>161</v>
      </c>
      <c r="C93" s="6" t="s">
        <v>162</v>
      </c>
      <c r="D93" s="23">
        <v>1320</v>
      </c>
    </row>
    <row r="94" spans="1:4" x14ac:dyDescent="0.25">
      <c r="A94" s="7" t="s">
        <v>197</v>
      </c>
      <c r="B94" s="6" t="s">
        <v>165</v>
      </c>
      <c r="C94" s="6" t="s">
        <v>162</v>
      </c>
      <c r="D94" s="23">
        <v>1111</v>
      </c>
    </row>
    <row r="95" spans="1:4" x14ac:dyDescent="0.25">
      <c r="A95" s="7" t="s">
        <v>197</v>
      </c>
      <c r="B95" s="6" t="s">
        <v>166</v>
      </c>
      <c r="C95" s="6" t="s">
        <v>167</v>
      </c>
      <c r="D95" s="23">
        <v>7844</v>
      </c>
    </row>
    <row r="96" spans="1:4" x14ac:dyDescent="0.25">
      <c r="A96" s="7" t="s">
        <v>197</v>
      </c>
      <c r="B96" s="6" t="s">
        <v>168</v>
      </c>
      <c r="C96" s="6" t="s">
        <v>164</v>
      </c>
      <c r="D96" s="23">
        <v>96400</v>
      </c>
    </row>
    <row r="97" spans="1:4" x14ac:dyDescent="0.25">
      <c r="A97" s="7" t="s">
        <v>197</v>
      </c>
      <c r="B97" s="6" t="s">
        <v>170</v>
      </c>
      <c r="C97" s="6" t="s">
        <v>159</v>
      </c>
      <c r="D97" s="23">
        <v>14122</v>
      </c>
    </row>
    <row r="98" spans="1:4" x14ac:dyDescent="0.25">
      <c r="A98" s="7" t="s">
        <v>197</v>
      </c>
      <c r="B98" s="6" t="s">
        <v>193</v>
      </c>
      <c r="C98" s="6" t="s">
        <v>173</v>
      </c>
      <c r="D98" s="23">
        <v>1472</v>
      </c>
    </row>
    <row r="99" spans="1:4" x14ac:dyDescent="0.25">
      <c r="A99" s="7" t="s">
        <v>197</v>
      </c>
      <c r="B99" s="6" t="s">
        <v>191</v>
      </c>
      <c r="C99" s="6" t="s">
        <v>162</v>
      </c>
      <c r="D99" s="23">
        <v>3550</v>
      </c>
    </row>
    <row r="100" spans="1:4" x14ac:dyDescent="0.25">
      <c r="A100" s="7" t="s">
        <v>197</v>
      </c>
      <c r="B100" s="6" t="s">
        <v>171</v>
      </c>
      <c r="C100" s="6" t="s">
        <v>164</v>
      </c>
      <c r="D100" s="23">
        <v>10179</v>
      </c>
    </row>
    <row r="101" spans="1:4" x14ac:dyDescent="0.25">
      <c r="A101" s="7" t="s">
        <v>197</v>
      </c>
      <c r="B101" s="6" t="s">
        <v>184</v>
      </c>
      <c r="C101" s="6" t="s">
        <v>159</v>
      </c>
      <c r="D101" s="23">
        <v>1735.9999999999998</v>
      </c>
    </row>
    <row r="102" spans="1:4" x14ac:dyDescent="0.25">
      <c r="A102" s="7" t="s">
        <v>197</v>
      </c>
      <c r="B102" s="6" t="s">
        <v>189</v>
      </c>
      <c r="C102" s="6" t="s">
        <v>164</v>
      </c>
      <c r="D102" s="23">
        <v>11319</v>
      </c>
    </row>
    <row r="103" spans="1:4" x14ac:dyDescent="0.25">
      <c r="A103" s="7" t="s">
        <v>197</v>
      </c>
      <c r="B103" s="6" t="s">
        <v>172</v>
      </c>
      <c r="C103" s="6" t="s">
        <v>173</v>
      </c>
      <c r="D103" s="23">
        <v>3068</v>
      </c>
    </row>
    <row r="104" spans="1:4" x14ac:dyDescent="0.25">
      <c r="A104" s="7" t="s">
        <v>197</v>
      </c>
      <c r="B104" s="6" t="s">
        <v>174</v>
      </c>
      <c r="C104" s="6" t="s">
        <v>159</v>
      </c>
      <c r="D104" s="23">
        <v>8094</v>
      </c>
    </row>
    <row r="105" spans="1:4" x14ac:dyDescent="0.25">
      <c r="A105" s="7" t="s">
        <v>197</v>
      </c>
      <c r="B105" s="6" t="s">
        <v>194</v>
      </c>
      <c r="C105" s="6" t="s">
        <v>173</v>
      </c>
      <c r="D105" s="23">
        <v>59568</v>
      </c>
    </row>
    <row r="106" spans="1:4" x14ac:dyDescent="0.25">
      <c r="A106" s="7" t="s">
        <v>197</v>
      </c>
      <c r="B106" s="6" t="s">
        <v>175</v>
      </c>
      <c r="C106" s="6" t="s">
        <v>167</v>
      </c>
      <c r="D106" s="23">
        <v>7980</v>
      </c>
    </row>
    <row r="107" spans="1:4" x14ac:dyDescent="0.25">
      <c r="A107" s="7" t="s">
        <v>197</v>
      </c>
      <c r="B107" s="6" t="s">
        <v>195</v>
      </c>
      <c r="C107" s="6" t="s">
        <v>162</v>
      </c>
      <c r="D107" s="23">
        <v>1936.0000000000002</v>
      </c>
    </row>
    <row r="108" spans="1:4" x14ac:dyDescent="0.25">
      <c r="A108" s="7" t="s">
        <v>197</v>
      </c>
      <c r="B108" s="6" t="s">
        <v>183</v>
      </c>
      <c r="C108" s="6" t="s">
        <v>167</v>
      </c>
      <c r="D108" s="23">
        <v>12008</v>
      </c>
    </row>
    <row r="109" spans="1:4" x14ac:dyDescent="0.25">
      <c r="A109" s="7" t="s">
        <v>197</v>
      </c>
      <c r="B109" s="6" t="s">
        <v>177</v>
      </c>
      <c r="C109" s="6" t="s">
        <v>173</v>
      </c>
      <c r="D109" s="23">
        <v>6848</v>
      </c>
    </row>
    <row r="110" spans="1:4" x14ac:dyDescent="0.25">
      <c r="A110" s="7" t="s">
        <v>197</v>
      </c>
      <c r="B110" s="6" t="s">
        <v>178</v>
      </c>
      <c r="C110" s="6" t="s">
        <v>173</v>
      </c>
      <c r="D110" s="23">
        <v>1090</v>
      </c>
    </row>
    <row r="111" spans="1:4" x14ac:dyDescent="0.25">
      <c r="A111" s="7" t="s">
        <v>197</v>
      </c>
      <c r="B111" s="6" t="s">
        <v>179</v>
      </c>
      <c r="C111" s="6" t="s">
        <v>164</v>
      </c>
      <c r="D111" s="23">
        <v>6834</v>
      </c>
    </row>
    <row r="112" spans="1:4" x14ac:dyDescent="0.25">
      <c r="A112" s="7" t="s">
        <v>197</v>
      </c>
      <c r="B112" s="6" t="s">
        <v>180</v>
      </c>
      <c r="C112" s="6" t="s">
        <v>167</v>
      </c>
      <c r="D112" s="23">
        <v>7560.0000000000009</v>
      </c>
    </row>
    <row r="113" spans="1:4" x14ac:dyDescent="0.25">
      <c r="A113" s="7" t="s">
        <v>197</v>
      </c>
      <c r="B113" s="6" t="s">
        <v>182</v>
      </c>
      <c r="C113" s="6" t="s">
        <v>162</v>
      </c>
      <c r="D113" s="23">
        <v>2530</v>
      </c>
    </row>
    <row r="114" spans="1:4" x14ac:dyDescent="0.25">
      <c r="A114" s="7" t="s">
        <v>197</v>
      </c>
      <c r="B114" s="6" t="s">
        <v>185</v>
      </c>
      <c r="C114" s="6" t="s">
        <v>164</v>
      </c>
      <c r="D114" s="23">
        <v>2822</v>
      </c>
    </row>
    <row r="115" spans="1:4" x14ac:dyDescent="0.25">
      <c r="A115" s="7" t="s">
        <v>197</v>
      </c>
      <c r="B115" s="6" t="s">
        <v>158</v>
      </c>
      <c r="C115" s="6" t="s">
        <v>159</v>
      </c>
      <c r="D115" s="23">
        <v>38186</v>
      </c>
    </row>
    <row r="116" spans="1:4" x14ac:dyDescent="0.25">
      <c r="A116" s="7" t="s">
        <v>197</v>
      </c>
      <c r="B116" s="6" t="s">
        <v>160</v>
      </c>
      <c r="C116" s="6" t="s">
        <v>159</v>
      </c>
      <c r="D116" s="23">
        <v>8432</v>
      </c>
    </row>
    <row r="117" spans="1:4" x14ac:dyDescent="0.25">
      <c r="A117" s="7" t="s">
        <v>197</v>
      </c>
      <c r="B117" s="6" t="s">
        <v>192</v>
      </c>
      <c r="C117" s="6" t="s">
        <v>173</v>
      </c>
      <c r="D117" s="23">
        <v>44070</v>
      </c>
    </row>
    <row r="118" spans="1:4" x14ac:dyDescent="0.25">
      <c r="A118" s="7" t="s">
        <v>197</v>
      </c>
      <c r="B118" s="6" t="s">
        <v>165</v>
      </c>
      <c r="C118" s="6" t="s">
        <v>162</v>
      </c>
      <c r="D118" s="23">
        <v>11918</v>
      </c>
    </row>
    <row r="119" spans="1:4" x14ac:dyDescent="0.25">
      <c r="A119" s="7" t="s">
        <v>197</v>
      </c>
      <c r="B119" s="6" t="s">
        <v>166</v>
      </c>
      <c r="C119" s="6" t="s">
        <v>167</v>
      </c>
      <c r="D119" s="23">
        <v>2960</v>
      </c>
    </row>
    <row r="120" spans="1:4" x14ac:dyDescent="0.25">
      <c r="A120" s="7" t="s">
        <v>197</v>
      </c>
      <c r="B120" s="6" t="s">
        <v>168</v>
      </c>
      <c r="C120" s="6" t="s">
        <v>164</v>
      </c>
      <c r="D120" s="23">
        <v>115680</v>
      </c>
    </row>
    <row r="121" spans="1:4" x14ac:dyDescent="0.25">
      <c r="A121" s="7" t="s">
        <v>197</v>
      </c>
      <c r="B121" s="6" t="s">
        <v>169</v>
      </c>
      <c r="C121" s="6" t="s">
        <v>159</v>
      </c>
      <c r="D121" s="23">
        <v>8246</v>
      </c>
    </row>
    <row r="122" spans="1:4" x14ac:dyDescent="0.25">
      <c r="A122" s="7" t="s">
        <v>197</v>
      </c>
      <c r="B122" s="6" t="s">
        <v>170</v>
      </c>
      <c r="C122" s="6" t="s">
        <v>159</v>
      </c>
      <c r="D122" s="23">
        <v>1535</v>
      </c>
    </row>
    <row r="123" spans="1:4" x14ac:dyDescent="0.25">
      <c r="A123" s="7" t="s">
        <v>197</v>
      </c>
      <c r="B123" s="6" t="s">
        <v>193</v>
      </c>
      <c r="C123" s="6" t="s">
        <v>173</v>
      </c>
      <c r="D123" s="23">
        <v>3136</v>
      </c>
    </row>
    <row r="124" spans="1:4" x14ac:dyDescent="0.25">
      <c r="A124" s="7" t="s">
        <v>197</v>
      </c>
      <c r="B124" s="6" t="s">
        <v>191</v>
      </c>
      <c r="C124" s="6" t="s">
        <v>162</v>
      </c>
      <c r="D124" s="23">
        <v>3833.9999999999995</v>
      </c>
    </row>
    <row r="125" spans="1:4" x14ac:dyDescent="0.25">
      <c r="A125" s="7" t="s">
        <v>197</v>
      </c>
      <c r="B125" s="6" t="s">
        <v>171</v>
      </c>
      <c r="C125" s="6" t="s">
        <v>164</v>
      </c>
      <c r="D125" s="23">
        <v>18252</v>
      </c>
    </row>
    <row r="126" spans="1:4" x14ac:dyDescent="0.25">
      <c r="A126" s="7" t="s">
        <v>197</v>
      </c>
      <c r="B126" s="6" t="s">
        <v>184</v>
      </c>
      <c r="C126" s="6" t="s">
        <v>159</v>
      </c>
      <c r="D126" s="23">
        <v>1064</v>
      </c>
    </row>
    <row r="127" spans="1:4" x14ac:dyDescent="0.25">
      <c r="A127" s="7" t="s">
        <v>197</v>
      </c>
      <c r="B127" s="6" t="s">
        <v>189</v>
      </c>
      <c r="C127" s="6" t="s">
        <v>164</v>
      </c>
      <c r="D127" s="23">
        <v>2541</v>
      </c>
    </row>
    <row r="128" spans="1:4" x14ac:dyDescent="0.25">
      <c r="A128" s="7" t="s">
        <v>197</v>
      </c>
      <c r="B128" s="6" t="s">
        <v>172</v>
      </c>
      <c r="C128" s="6" t="s">
        <v>173</v>
      </c>
      <c r="D128" s="23">
        <v>5900</v>
      </c>
    </row>
    <row r="129" spans="1:4" x14ac:dyDescent="0.25">
      <c r="A129" s="7" t="s">
        <v>197</v>
      </c>
      <c r="B129" s="6" t="s">
        <v>194</v>
      </c>
      <c r="C129" s="6" t="s">
        <v>173</v>
      </c>
      <c r="D129" s="23">
        <v>51816</v>
      </c>
    </row>
    <row r="130" spans="1:4" x14ac:dyDescent="0.25">
      <c r="A130" s="7" t="s">
        <v>197</v>
      </c>
      <c r="B130" s="6" t="s">
        <v>175</v>
      </c>
      <c r="C130" s="6" t="s">
        <v>167</v>
      </c>
      <c r="D130" s="23">
        <v>8820</v>
      </c>
    </row>
    <row r="131" spans="1:4" x14ac:dyDescent="0.25">
      <c r="A131" s="7" t="s">
        <v>197</v>
      </c>
      <c r="B131" s="6" t="s">
        <v>195</v>
      </c>
      <c r="C131" s="6" t="s">
        <v>162</v>
      </c>
      <c r="D131" s="23">
        <v>1452.0000000000002</v>
      </c>
    </row>
    <row r="132" spans="1:4" x14ac:dyDescent="0.25">
      <c r="A132" s="7" t="s">
        <v>197</v>
      </c>
      <c r="B132" s="6" t="s">
        <v>183</v>
      </c>
      <c r="C132" s="6" t="s">
        <v>167</v>
      </c>
      <c r="D132" s="23">
        <v>1580</v>
      </c>
    </row>
    <row r="133" spans="1:4" x14ac:dyDescent="0.25">
      <c r="A133" s="7" t="s">
        <v>197</v>
      </c>
      <c r="B133" s="6" t="s">
        <v>177</v>
      </c>
      <c r="C133" s="6" t="s">
        <v>173</v>
      </c>
      <c r="D133" s="23">
        <v>8239</v>
      </c>
    </row>
    <row r="134" spans="1:4" x14ac:dyDescent="0.25">
      <c r="A134" s="7" t="s">
        <v>197</v>
      </c>
      <c r="B134" s="6" t="s">
        <v>188</v>
      </c>
      <c r="C134" s="6" t="s">
        <v>173</v>
      </c>
      <c r="D134" s="23">
        <v>4960</v>
      </c>
    </row>
    <row r="135" spans="1:4" x14ac:dyDescent="0.25">
      <c r="A135" s="7" t="s">
        <v>197</v>
      </c>
      <c r="B135" s="6" t="s">
        <v>178</v>
      </c>
      <c r="C135" s="6" t="s">
        <v>173</v>
      </c>
      <c r="D135" s="23">
        <v>1308</v>
      </c>
    </row>
    <row r="136" spans="1:4" x14ac:dyDescent="0.25">
      <c r="A136" s="7" t="s">
        <v>197</v>
      </c>
      <c r="B136" s="6" t="s">
        <v>190</v>
      </c>
      <c r="C136" s="6" t="s">
        <v>162</v>
      </c>
      <c r="D136" s="23">
        <v>84</v>
      </c>
    </row>
    <row r="137" spans="1:4" x14ac:dyDescent="0.25">
      <c r="A137" s="7" t="s">
        <v>197</v>
      </c>
      <c r="B137" s="6" t="s">
        <v>179</v>
      </c>
      <c r="C137" s="6" t="s">
        <v>164</v>
      </c>
      <c r="D137" s="23">
        <v>23358</v>
      </c>
    </row>
    <row r="138" spans="1:4" x14ac:dyDescent="0.25">
      <c r="A138" s="7" t="s">
        <v>197</v>
      </c>
      <c r="B138" s="6" t="s">
        <v>180</v>
      </c>
      <c r="C138" s="6" t="s">
        <v>167</v>
      </c>
      <c r="D138" s="23">
        <v>7200</v>
      </c>
    </row>
    <row r="139" spans="1:4" x14ac:dyDescent="0.25">
      <c r="A139" s="7" t="s">
        <v>197</v>
      </c>
      <c r="B139" s="6" t="s">
        <v>186</v>
      </c>
      <c r="C139" s="6" t="s">
        <v>167</v>
      </c>
      <c r="D139" s="23">
        <v>15732</v>
      </c>
    </row>
    <row r="140" spans="1:4" x14ac:dyDescent="0.25">
      <c r="A140" s="7" t="s">
        <v>197</v>
      </c>
      <c r="B140" s="6" t="s">
        <v>182</v>
      </c>
      <c r="C140" s="6" t="s">
        <v>162</v>
      </c>
      <c r="D140" s="23">
        <v>7130.0000000000009</v>
      </c>
    </row>
    <row r="141" spans="1:4" x14ac:dyDescent="0.25">
      <c r="A141" s="7" t="s">
        <v>197</v>
      </c>
      <c r="B141" s="6" t="s">
        <v>158</v>
      </c>
      <c r="C141" s="6" t="s">
        <v>159</v>
      </c>
      <c r="D141" s="23">
        <v>15337.000000000002</v>
      </c>
    </row>
    <row r="142" spans="1:4" x14ac:dyDescent="0.25">
      <c r="A142" s="7" t="s">
        <v>197</v>
      </c>
      <c r="B142" s="6" t="s">
        <v>160</v>
      </c>
      <c r="C142" s="6" t="s">
        <v>159</v>
      </c>
      <c r="D142" s="23">
        <v>3196</v>
      </c>
    </row>
    <row r="143" spans="1:4" x14ac:dyDescent="0.25">
      <c r="A143" s="7" t="s">
        <v>197</v>
      </c>
      <c r="B143" s="6" t="s">
        <v>192</v>
      </c>
      <c r="C143" s="6" t="s">
        <v>173</v>
      </c>
      <c r="D143" s="23">
        <v>55596</v>
      </c>
    </row>
    <row r="144" spans="1:4" x14ac:dyDescent="0.25">
      <c r="A144" s="7" t="s">
        <v>197</v>
      </c>
      <c r="B144" s="6" t="s">
        <v>165</v>
      </c>
      <c r="C144" s="6" t="s">
        <v>162</v>
      </c>
      <c r="D144" s="23">
        <v>6262</v>
      </c>
    </row>
    <row r="145" spans="1:4" x14ac:dyDescent="0.25">
      <c r="A145" s="7" t="s">
        <v>197</v>
      </c>
      <c r="B145" s="6" t="s">
        <v>166</v>
      </c>
      <c r="C145" s="6" t="s">
        <v>167</v>
      </c>
      <c r="D145" s="23">
        <v>9620</v>
      </c>
    </row>
    <row r="146" spans="1:4" x14ac:dyDescent="0.25">
      <c r="A146" s="7" t="s">
        <v>197</v>
      </c>
      <c r="B146" s="6" t="s">
        <v>169</v>
      </c>
      <c r="C146" s="6" t="s">
        <v>159</v>
      </c>
      <c r="D146" s="23">
        <v>9443</v>
      </c>
    </row>
    <row r="147" spans="1:4" x14ac:dyDescent="0.25">
      <c r="A147" s="7" t="s">
        <v>197</v>
      </c>
      <c r="B147" s="6" t="s">
        <v>170</v>
      </c>
      <c r="C147" s="6" t="s">
        <v>159</v>
      </c>
      <c r="D147" s="23">
        <v>14736</v>
      </c>
    </row>
    <row r="148" spans="1:4" x14ac:dyDescent="0.25">
      <c r="A148" s="7" t="s">
        <v>197</v>
      </c>
      <c r="B148" s="6" t="s">
        <v>193</v>
      </c>
      <c r="C148" s="6" t="s">
        <v>173</v>
      </c>
      <c r="D148" s="23">
        <v>2816</v>
      </c>
    </row>
    <row r="149" spans="1:4" x14ac:dyDescent="0.25">
      <c r="A149" s="7" t="s">
        <v>197</v>
      </c>
      <c r="B149" s="6" t="s">
        <v>191</v>
      </c>
      <c r="C149" s="6" t="s">
        <v>162</v>
      </c>
      <c r="D149" s="23">
        <v>2627</v>
      </c>
    </row>
    <row r="150" spans="1:4" x14ac:dyDescent="0.25">
      <c r="A150" s="7" t="s">
        <v>197</v>
      </c>
      <c r="B150" s="6" t="s">
        <v>171</v>
      </c>
      <c r="C150" s="6" t="s">
        <v>164</v>
      </c>
      <c r="D150" s="23">
        <v>10530</v>
      </c>
    </row>
    <row r="151" spans="1:4" x14ac:dyDescent="0.25">
      <c r="A151" s="7" t="s">
        <v>197</v>
      </c>
      <c r="B151" s="6" t="s">
        <v>184</v>
      </c>
      <c r="C151" s="6" t="s">
        <v>159</v>
      </c>
      <c r="D151" s="23">
        <v>5935.9999999999991</v>
      </c>
    </row>
    <row r="152" spans="1:4" x14ac:dyDescent="0.25">
      <c r="A152" s="7" t="s">
        <v>197</v>
      </c>
      <c r="B152" s="6" t="s">
        <v>189</v>
      </c>
      <c r="C152" s="6" t="s">
        <v>164</v>
      </c>
      <c r="D152" s="23">
        <v>7161</v>
      </c>
    </row>
    <row r="153" spans="1:4" x14ac:dyDescent="0.25">
      <c r="A153" s="7" t="s">
        <v>197</v>
      </c>
      <c r="B153" s="6" t="s">
        <v>172</v>
      </c>
      <c r="C153" s="6" t="s">
        <v>173</v>
      </c>
      <c r="D153" s="23">
        <v>23836</v>
      </c>
    </row>
    <row r="154" spans="1:4" x14ac:dyDescent="0.25">
      <c r="A154" s="7" t="s">
        <v>197</v>
      </c>
      <c r="B154" s="6" t="s">
        <v>174</v>
      </c>
      <c r="C154" s="6" t="s">
        <v>159</v>
      </c>
      <c r="D154" s="23">
        <v>10011</v>
      </c>
    </row>
    <row r="155" spans="1:4" x14ac:dyDescent="0.25">
      <c r="A155" s="7" t="s">
        <v>197</v>
      </c>
      <c r="B155" s="6" t="s">
        <v>194</v>
      </c>
      <c r="C155" s="6" t="s">
        <v>173</v>
      </c>
      <c r="D155" s="23">
        <v>31416</v>
      </c>
    </row>
    <row r="156" spans="1:4" x14ac:dyDescent="0.25">
      <c r="A156" s="7" t="s">
        <v>197</v>
      </c>
      <c r="B156" s="6" t="s">
        <v>175</v>
      </c>
      <c r="C156" s="6" t="s">
        <v>167</v>
      </c>
      <c r="D156" s="23">
        <v>3780</v>
      </c>
    </row>
    <row r="157" spans="1:4" x14ac:dyDescent="0.25">
      <c r="A157" s="7" t="s">
        <v>197</v>
      </c>
      <c r="B157" s="6" t="s">
        <v>183</v>
      </c>
      <c r="C157" s="6" t="s">
        <v>167</v>
      </c>
      <c r="D157" s="23">
        <v>42976</v>
      </c>
    </row>
    <row r="158" spans="1:4" x14ac:dyDescent="0.25">
      <c r="A158" s="7" t="s">
        <v>197</v>
      </c>
      <c r="B158" s="6" t="s">
        <v>177</v>
      </c>
      <c r="C158" s="6" t="s">
        <v>173</v>
      </c>
      <c r="D158" s="23">
        <v>20330</v>
      </c>
    </row>
    <row r="159" spans="1:4" x14ac:dyDescent="0.25">
      <c r="A159" s="7" t="s">
        <v>197</v>
      </c>
      <c r="B159" s="6" t="s">
        <v>188</v>
      </c>
      <c r="C159" s="6" t="s">
        <v>173</v>
      </c>
      <c r="D159" s="23">
        <v>1488</v>
      </c>
    </row>
    <row r="160" spans="1:4" x14ac:dyDescent="0.25">
      <c r="A160" s="7" t="s">
        <v>197</v>
      </c>
      <c r="B160" s="6" t="s">
        <v>178</v>
      </c>
      <c r="C160" s="6" t="s">
        <v>173</v>
      </c>
      <c r="D160" s="23">
        <v>545</v>
      </c>
    </row>
    <row r="161" spans="1:4" x14ac:dyDescent="0.25">
      <c r="A161" s="7" t="s">
        <v>197</v>
      </c>
      <c r="B161" s="6" t="s">
        <v>179</v>
      </c>
      <c r="C161" s="6" t="s">
        <v>164</v>
      </c>
      <c r="D161" s="23">
        <v>22236</v>
      </c>
    </row>
    <row r="162" spans="1:4" x14ac:dyDescent="0.25">
      <c r="A162" s="7" t="s">
        <v>197</v>
      </c>
      <c r="B162" s="6" t="s">
        <v>180</v>
      </c>
      <c r="C162" s="6" t="s">
        <v>167</v>
      </c>
      <c r="D162" s="23">
        <v>1080</v>
      </c>
    </row>
    <row r="163" spans="1:4" x14ac:dyDescent="0.25">
      <c r="A163" s="7" t="s">
        <v>197</v>
      </c>
      <c r="B163" s="6" t="s">
        <v>182</v>
      </c>
      <c r="C163" s="6" t="s">
        <v>162</v>
      </c>
      <c r="D163" s="23">
        <v>5520</v>
      </c>
    </row>
    <row r="164" spans="1:4" x14ac:dyDescent="0.25">
      <c r="A164" s="7" t="s">
        <v>198</v>
      </c>
      <c r="B164" s="6" t="s">
        <v>158</v>
      </c>
      <c r="C164" s="6" t="s">
        <v>159</v>
      </c>
      <c r="D164" s="23">
        <v>33804</v>
      </c>
    </row>
    <row r="165" spans="1:4" x14ac:dyDescent="0.25">
      <c r="A165" s="7" t="s">
        <v>198</v>
      </c>
      <c r="B165" s="6" t="s">
        <v>160</v>
      </c>
      <c r="C165" s="6" t="s">
        <v>159</v>
      </c>
      <c r="D165" s="23">
        <v>2448</v>
      </c>
    </row>
    <row r="166" spans="1:4" x14ac:dyDescent="0.25">
      <c r="A166" s="7" t="s">
        <v>198</v>
      </c>
      <c r="B166" s="6" t="s">
        <v>192</v>
      </c>
      <c r="C166" s="6" t="s">
        <v>173</v>
      </c>
      <c r="D166" s="23">
        <v>104073</v>
      </c>
    </row>
    <row r="167" spans="1:4" x14ac:dyDescent="0.25">
      <c r="A167" s="7" t="s">
        <v>198</v>
      </c>
      <c r="B167" s="6" t="s">
        <v>163</v>
      </c>
      <c r="C167" s="6" t="s">
        <v>164</v>
      </c>
      <c r="D167" s="23">
        <v>927.99999999999989</v>
      </c>
    </row>
    <row r="168" spans="1:4" x14ac:dyDescent="0.25">
      <c r="A168" s="7" t="s">
        <v>198</v>
      </c>
      <c r="B168" s="6" t="s">
        <v>166</v>
      </c>
      <c r="C168" s="6" t="s">
        <v>167</v>
      </c>
      <c r="D168" s="23">
        <v>5180</v>
      </c>
    </row>
    <row r="169" spans="1:4" x14ac:dyDescent="0.25">
      <c r="A169" s="7" t="s">
        <v>198</v>
      </c>
      <c r="B169" s="6" t="s">
        <v>168</v>
      </c>
      <c r="C169" s="6" t="s">
        <v>164</v>
      </c>
      <c r="D169" s="23">
        <v>116644</v>
      </c>
    </row>
    <row r="170" spans="1:4" x14ac:dyDescent="0.25">
      <c r="A170" s="7" t="s">
        <v>198</v>
      </c>
      <c r="B170" s="6" t="s">
        <v>169</v>
      </c>
      <c r="C170" s="6" t="s">
        <v>159</v>
      </c>
      <c r="D170" s="23">
        <v>6117.9999999999991</v>
      </c>
    </row>
    <row r="171" spans="1:4" x14ac:dyDescent="0.25">
      <c r="A171" s="7" t="s">
        <v>198</v>
      </c>
      <c r="B171" s="6" t="s">
        <v>170</v>
      </c>
      <c r="C171" s="6" t="s">
        <v>159</v>
      </c>
      <c r="D171" s="23">
        <v>15964</v>
      </c>
    </row>
    <row r="172" spans="1:4" x14ac:dyDescent="0.25">
      <c r="A172" s="7" t="s">
        <v>198</v>
      </c>
      <c r="B172" s="6" t="s">
        <v>193</v>
      </c>
      <c r="C172" s="6" t="s">
        <v>173</v>
      </c>
      <c r="D172" s="23">
        <v>2048</v>
      </c>
    </row>
    <row r="173" spans="1:4" x14ac:dyDescent="0.25">
      <c r="A173" s="7" t="s">
        <v>198</v>
      </c>
      <c r="B173" s="6" t="s">
        <v>196</v>
      </c>
      <c r="C173" s="6" t="s">
        <v>167</v>
      </c>
      <c r="D173" s="23">
        <v>902</v>
      </c>
    </row>
    <row r="174" spans="1:4" x14ac:dyDescent="0.25">
      <c r="A174" s="7" t="s">
        <v>198</v>
      </c>
      <c r="B174" s="6" t="s">
        <v>191</v>
      </c>
      <c r="C174" s="6" t="s">
        <v>162</v>
      </c>
      <c r="D174" s="23">
        <v>2840</v>
      </c>
    </row>
    <row r="175" spans="1:4" x14ac:dyDescent="0.25">
      <c r="A175" s="7" t="s">
        <v>198</v>
      </c>
      <c r="B175" s="6" t="s">
        <v>171</v>
      </c>
      <c r="C175" s="6" t="s">
        <v>164</v>
      </c>
      <c r="D175" s="23">
        <v>16848</v>
      </c>
    </row>
    <row r="176" spans="1:4" x14ac:dyDescent="0.25">
      <c r="A176" s="7" t="s">
        <v>198</v>
      </c>
      <c r="B176" s="6" t="s">
        <v>184</v>
      </c>
      <c r="C176" s="6" t="s">
        <v>159</v>
      </c>
      <c r="D176" s="23">
        <v>391.99999999999994</v>
      </c>
    </row>
    <row r="177" spans="1:4" x14ac:dyDescent="0.25">
      <c r="A177" s="7" t="s">
        <v>198</v>
      </c>
      <c r="B177" s="6" t="s">
        <v>189</v>
      </c>
      <c r="C177" s="6" t="s">
        <v>164</v>
      </c>
      <c r="D177" s="23">
        <v>8316</v>
      </c>
    </row>
    <row r="178" spans="1:4" x14ac:dyDescent="0.25">
      <c r="A178" s="7" t="s">
        <v>198</v>
      </c>
      <c r="B178" s="6" t="s">
        <v>172</v>
      </c>
      <c r="C178" s="6" t="s">
        <v>173</v>
      </c>
      <c r="D178" s="23">
        <v>4012</v>
      </c>
    </row>
    <row r="179" spans="1:4" x14ac:dyDescent="0.25">
      <c r="A179" s="7" t="s">
        <v>198</v>
      </c>
      <c r="B179" s="6" t="s">
        <v>174</v>
      </c>
      <c r="C179" s="6" t="s">
        <v>159</v>
      </c>
      <c r="D179" s="23">
        <v>11928</v>
      </c>
    </row>
    <row r="180" spans="1:4" x14ac:dyDescent="0.25">
      <c r="A180" s="7" t="s">
        <v>198</v>
      </c>
      <c r="B180" s="6" t="s">
        <v>194</v>
      </c>
      <c r="C180" s="6" t="s">
        <v>173</v>
      </c>
      <c r="D180" s="23">
        <v>29376</v>
      </c>
    </row>
    <row r="181" spans="1:4" x14ac:dyDescent="0.25">
      <c r="A181" s="7" t="s">
        <v>198</v>
      </c>
      <c r="B181" s="6" t="s">
        <v>175</v>
      </c>
      <c r="C181" s="6" t="s">
        <v>167</v>
      </c>
      <c r="D181" s="23">
        <v>7770</v>
      </c>
    </row>
    <row r="182" spans="1:4" x14ac:dyDescent="0.25">
      <c r="A182" s="7" t="s">
        <v>198</v>
      </c>
      <c r="B182" s="6" t="s">
        <v>195</v>
      </c>
      <c r="C182" s="6" t="s">
        <v>162</v>
      </c>
      <c r="D182" s="23">
        <v>2904.0000000000005</v>
      </c>
    </row>
    <row r="183" spans="1:4" x14ac:dyDescent="0.25">
      <c r="A183" s="7" t="s">
        <v>198</v>
      </c>
      <c r="B183" s="6" t="s">
        <v>183</v>
      </c>
      <c r="C183" s="6" t="s">
        <v>167</v>
      </c>
      <c r="D183" s="23">
        <v>66676</v>
      </c>
    </row>
    <row r="184" spans="1:4" x14ac:dyDescent="0.25">
      <c r="A184" s="7" t="s">
        <v>198</v>
      </c>
      <c r="B184" s="6" t="s">
        <v>177</v>
      </c>
      <c r="C184" s="6" t="s">
        <v>173</v>
      </c>
      <c r="D184" s="23">
        <v>15301</v>
      </c>
    </row>
    <row r="185" spans="1:4" x14ac:dyDescent="0.25">
      <c r="A185" s="7" t="s">
        <v>198</v>
      </c>
      <c r="B185" s="6" t="s">
        <v>179</v>
      </c>
      <c r="C185" s="6" t="s">
        <v>164</v>
      </c>
      <c r="D185" s="23">
        <v>15096</v>
      </c>
    </row>
    <row r="186" spans="1:4" x14ac:dyDescent="0.25">
      <c r="A186" s="7" t="s">
        <v>198</v>
      </c>
      <c r="B186" s="6" t="s">
        <v>186</v>
      </c>
      <c r="C186" s="6" t="s">
        <v>167</v>
      </c>
      <c r="D186" s="23">
        <v>3496</v>
      </c>
    </row>
    <row r="187" spans="1:4" x14ac:dyDescent="0.25">
      <c r="A187" s="7" t="s">
        <v>198</v>
      </c>
      <c r="B187" s="6" t="s">
        <v>181</v>
      </c>
      <c r="C187" s="6" t="s">
        <v>159</v>
      </c>
      <c r="D187" s="23">
        <v>18326</v>
      </c>
    </row>
    <row r="188" spans="1:4" x14ac:dyDescent="0.25">
      <c r="A188" s="7" t="s">
        <v>198</v>
      </c>
      <c r="B188" s="6" t="s">
        <v>182</v>
      </c>
      <c r="C188" s="6" t="s">
        <v>162</v>
      </c>
      <c r="D188" s="23">
        <v>4140</v>
      </c>
    </row>
    <row r="189" spans="1:4" x14ac:dyDescent="0.25">
      <c r="A189" s="7" t="s">
        <v>198</v>
      </c>
      <c r="B189" s="6" t="s">
        <v>185</v>
      </c>
      <c r="C189" s="6" t="s">
        <v>164</v>
      </c>
      <c r="D189" s="23">
        <v>1660</v>
      </c>
    </row>
    <row r="190" spans="1:4" x14ac:dyDescent="0.25">
      <c r="A190" s="7" t="s">
        <v>198</v>
      </c>
      <c r="B190" s="6" t="s">
        <v>158</v>
      </c>
      <c r="C190" s="6" t="s">
        <v>159</v>
      </c>
      <c r="D190" s="23">
        <v>41942</v>
      </c>
    </row>
    <row r="191" spans="1:4" x14ac:dyDescent="0.25">
      <c r="A191" s="7" t="s">
        <v>198</v>
      </c>
      <c r="B191" s="6" t="s">
        <v>160</v>
      </c>
      <c r="C191" s="6" t="s">
        <v>159</v>
      </c>
      <c r="D191" s="23">
        <v>2720</v>
      </c>
    </row>
    <row r="192" spans="1:4" x14ac:dyDescent="0.25">
      <c r="A192" s="7" t="s">
        <v>198</v>
      </c>
      <c r="B192" s="6" t="s">
        <v>192</v>
      </c>
      <c r="C192" s="6" t="s">
        <v>173</v>
      </c>
      <c r="D192" s="23">
        <v>58986</v>
      </c>
    </row>
    <row r="193" spans="1:4" x14ac:dyDescent="0.25">
      <c r="A193" s="7" t="s">
        <v>198</v>
      </c>
      <c r="B193" s="6" t="s">
        <v>165</v>
      </c>
      <c r="C193" s="6" t="s">
        <v>162</v>
      </c>
      <c r="D193" s="23">
        <v>8282</v>
      </c>
    </row>
    <row r="194" spans="1:4" x14ac:dyDescent="0.25">
      <c r="A194" s="7" t="s">
        <v>198</v>
      </c>
      <c r="B194" s="6" t="s">
        <v>166</v>
      </c>
      <c r="C194" s="6" t="s">
        <v>167</v>
      </c>
      <c r="D194" s="23">
        <v>3552</v>
      </c>
    </row>
    <row r="195" spans="1:4" x14ac:dyDescent="0.25">
      <c r="A195" s="7" t="s">
        <v>198</v>
      </c>
      <c r="B195" s="6" t="s">
        <v>168</v>
      </c>
      <c r="C195" s="6" t="s">
        <v>164</v>
      </c>
      <c r="D195" s="23">
        <v>91580</v>
      </c>
    </row>
    <row r="196" spans="1:4" x14ac:dyDescent="0.25">
      <c r="A196" s="7" t="s">
        <v>198</v>
      </c>
      <c r="B196" s="6" t="s">
        <v>169</v>
      </c>
      <c r="C196" s="6" t="s">
        <v>159</v>
      </c>
      <c r="D196" s="23">
        <v>14895.999999999998</v>
      </c>
    </row>
    <row r="197" spans="1:4" x14ac:dyDescent="0.25">
      <c r="A197" s="7" t="s">
        <v>198</v>
      </c>
      <c r="B197" s="6" t="s">
        <v>170</v>
      </c>
      <c r="C197" s="6" t="s">
        <v>159</v>
      </c>
      <c r="D197" s="23">
        <v>7061</v>
      </c>
    </row>
    <row r="198" spans="1:4" x14ac:dyDescent="0.25">
      <c r="A198" s="7" t="s">
        <v>198</v>
      </c>
      <c r="B198" s="6" t="s">
        <v>193</v>
      </c>
      <c r="C198" s="6" t="s">
        <v>173</v>
      </c>
      <c r="D198" s="23">
        <v>448</v>
      </c>
    </row>
    <row r="199" spans="1:4" x14ac:dyDescent="0.25">
      <c r="A199" s="7" t="s">
        <v>198</v>
      </c>
      <c r="B199" s="6" t="s">
        <v>196</v>
      </c>
      <c r="C199" s="6" t="s">
        <v>167</v>
      </c>
      <c r="D199" s="23">
        <v>4510</v>
      </c>
    </row>
    <row r="200" spans="1:4" x14ac:dyDescent="0.25">
      <c r="A200" s="7" t="s">
        <v>198</v>
      </c>
      <c r="B200" s="6" t="s">
        <v>191</v>
      </c>
      <c r="C200" s="6" t="s">
        <v>162</v>
      </c>
      <c r="D200" s="23">
        <v>496.99999999999994</v>
      </c>
    </row>
    <row r="201" spans="1:4" x14ac:dyDescent="0.25">
      <c r="A201" s="7" t="s">
        <v>198</v>
      </c>
      <c r="B201" s="6" t="s">
        <v>184</v>
      </c>
      <c r="C201" s="6" t="s">
        <v>159</v>
      </c>
      <c r="D201" s="23">
        <v>1623.9999999999998</v>
      </c>
    </row>
    <row r="202" spans="1:4" x14ac:dyDescent="0.25">
      <c r="A202" s="7" t="s">
        <v>198</v>
      </c>
      <c r="B202" s="6" t="s">
        <v>194</v>
      </c>
      <c r="C202" s="6" t="s">
        <v>173</v>
      </c>
      <c r="D202" s="23">
        <v>30804</v>
      </c>
    </row>
    <row r="203" spans="1:4" x14ac:dyDescent="0.25">
      <c r="A203" s="7" t="s">
        <v>198</v>
      </c>
      <c r="B203" s="6" t="s">
        <v>175</v>
      </c>
      <c r="C203" s="6" t="s">
        <v>167</v>
      </c>
      <c r="D203" s="23">
        <v>6300</v>
      </c>
    </row>
    <row r="204" spans="1:4" x14ac:dyDescent="0.25">
      <c r="A204" s="7" t="s">
        <v>198</v>
      </c>
      <c r="B204" s="6" t="s">
        <v>195</v>
      </c>
      <c r="C204" s="6" t="s">
        <v>162</v>
      </c>
      <c r="D204" s="23">
        <v>4114</v>
      </c>
    </row>
    <row r="205" spans="1:4" x14ac:dyDescent="0.25">
      <c r="A205" s="7" t="s">
        <v>198</v>
      </c>
      <c r="B205" s="6" t="s">
        <v>183</v>
      </c>
      <c r="C205" s="6" t="s">
        <v>167</v>
      </c>
      <c r="D205" s="23">
        <v>7584.0000000000009</v>
      </c>
    </row>
    <row r="206" spans="1:4" x14ac:dyDescent="0.25">
      <c r="A206" s="7" t="s">
        <v>198</v>
      </c>
      <c r="B206" s="6" t="s">
        <v>177</v>
      </c>
      <c r="C206" s="6" t="s">
        <v>173</v>
      </c>
      <c r="D206" s="23">
        <v>13268</v>
      </c>
    </row>
    <row r="207" spans="1:4" x14ac:dyDescent="0.25">
      <c r="A207" s="7" t="s">
        <v>198</v>
      </c>
      <c r="B207" s="6" t="s">
        <v>178</v>
      </c>
      <c r="C207" s="6" t="s">
        <v>173</v>
      </c>
      <c r="D207" s="23">
        <v>2616</v>
      </c>
    </row>
    <row r="208" spans="1:4" x14ac:dyDescent="0.25">
      <c r="A208" s="7" t="s">
        <v>198</v>
      </c>
      <c r="B208" s="6" t="s">
        <v>179</v>
      </c>
      <c r="C208" s="6" t="s">
        <v>164</v>
      </c>
      <c r="D208" s="23">
        <v>13566</v>
      </c>
    </row>
    <row r="209" spans="1:4" x14ac:dyDescent="0.25">
      <c r="A209" s="7" t="s">
        <v>198</v>
      </c>
      <c r="B209" s="6" t="s">
        <v>180</v>
      </c>
      <c r="C209" s="6" t="s">
        <v>167</v>
      </c>
      <c r="D209" s="23">
        <v>1980.0000000000002</v>
      </c>
    </row>
    <row r="210" spans="1:4" x14ac:dyDescent="0.25">
      <c r="A210" s="7" t="s">
        <v>198</v>
      </c>
      <c r="B210" s="6" t="s">
        <v>182</v>
      </c>
      <c r="C210" s="6" t="s">
        <v>162</v>
      </c>
      <c r="D210" s="23">
        <v>5750</v>
      </c>
    </row>
    <row r="211" spans="1:4" x14ac:dyDescent="0.25">
      <c r="A211" s="7" t="s">
        <v>198</v>
      </c>
      <c r="B211" s="6" t="s">
        <v>158</v>
      </c>
      <c r="C211" s="6" t="s">
        <v>159</v>
      </c>
      <c r="D211" s="23">
        <v>35056</v>
      </c>
    </row>
    <row r="212" spans="1:4" x14ac:dyDescent="0.25">
      <c r="A212" s="7" t="s">
        <v>198</v>
      </c>
      <c r="B212" s="6" t="s">
        <v>160</v>
      </c>
      <c r="C212" s="6" t="s">
        <v>159</v>
      </c>
      <c r="D212" s="23">
        <v>8500</v>
      </c>
    </row>
    <row r="213" spans="1:4" x14ac:dyDescent="0.25">
      <c r="A213" s="7" t="s">
        <v>198</v>
      </c>
      <c r="B213" s="6" t="s">
        <v>192</v>
      </c>
      <c r="C213" s="6" t="s">
        <v>173</v>
      </c>
      <c r="D213" s="23">
        <v>109158</v>
      </c>
    </row>
    <row r="214" spans="1:4" x14ac:dyDescent="0.25">
      <c r="A214" s="7" t="s">
        <v>198</v>
      </c>
      <c r="B214" s="6" t="s">
        <v>165</v>
      </c>
      <c r="C214" s="6" t="s">
        <v>162</v>
      </c>
      <c r="D214" s="23">
        <v>9797</v>
      </c>
    </row>
    <row r="215" spans="1:4" x14ac:dyDescent="0.25">
      <c r="A215" s="7" t="s">
        <v>198</v>
      </c>
      <c r="B215" s="6" t="s">
        <v>166</v>
      </c>
      <c r="C215" s="6" t="s">
        <v>167</v>
      </c>
      <c r="D215" s="23">
        <v>7844</v>
      </c>
    </row>
    <row r="216" spans="1:4" x14ac:dyDescent="0.25">
      <c r="A216" s="7" t="s">
        <v>198</v>
      </c>
      <c r="B216" s="6" t="s">
        <v>168</v>
      </c>
      <c r="C216" s="6" t="s">
        <v>164</v>
      </c>
      <c r="D216" s="23">
        <v>36632</v>
      </c>
    </row>
    <row r="217" spans="1:4" x14ac:dyDescent="0.25">
      <c r="A217" s="7" t="s">
        <v>198</v>
      </c>
      <c r="B217" s="6" t="s">
        <v>169</v>
      </c>
      <c r="C217" s="6" t="s">
        <v>159</v>
      </c>
      <c r="D217" s="23">
        <v>19950</v>
      </c>
    </row>
    <row r="218" spans="1:4" x14ac:dyDescent="0.25">
      <c r="A218" s="7" t="s">
        <v>198</v>
      </c>
      <c r="B218" s="6" t="s">
        <v>170</v>
      </c>
      <c r="C218" s="6" t="s">
        <v>159</v>
      </c>
      <c r="D218" s="23">
        <v>7368</v>
      </c>
    </row>
    <row r="219" spans="1:4" x14ac:dyDescent="0.25">
      <c r="A219" s="7" t="s">
        <v>198</v>
      </c>
      <c r="B219" s="6" t="s">
        <v>193</v>
      </c>
      <c r="C219" s="6" t="s">
        <v>173</v>
      </c>
      <c r="D219" s="23">
        <v>384</v>
      </c>
    </row>
    <row r="220" spans="1:4" x14ac:dyDescent="0.25">
      <c r="A220" s="7" t="s">
        <v>198</v>
      </c>
      <c r="B220" s="6" t="s">
        <v>196</v>
      </c>
      <c r="C220" s="6" t="s">
        <v>167</v>
      </c>
      <c r="D220" s="23">
        <v>1968</v>
      </c>
    </row>
    <row r="221" spans="1:4" x14ac:dyDescent="0.25">
      <c r="A221" s="7" t="s">
        <v>198</v>
      </c>
      <c r="B221" s="6" t="s">
        <v>191</v>
      </c>
      <c r="C221" s="6" t="s">
        <v>162</v>
      </c>
      <c r="D221" s="23">
        <v>2627</v>
      </c>
    </row>
    <row r="222" spans="1:4" x14ac:dyDescent="0.25">
      <c r="A222" s="7" t="s">
        <v>198</v>
      </c>
      <c r="B222" s="6" t="s">
        <v>171</v>
      </c>
      <c r="C222" s="6" t="s">
        <v>164</v>
      </c>
      <c r="D222" s="23">
        <v>5616</v>
      </c>
    </row>
    <row r="223" spans="1:4" x14ac:dyDescent="0.25">
      <c r="A223" s="7" t="s">
        <v>198</v>
      </c>
      <c r="B223" s="6" t="s">
        <v>184</v>
      </c>
      <c r="C223" s="6" t="s">
        <v>159</v>
      </c>
      <c r="D223" s="23">
        <v>1679.9999999999998</v>
      </c>
    </row>
    <row r="224" spans="1:4" x14ac:dyDescent="0.25">
      <c r="A224" s="7" t="s">
        <v>198</v>
      </c>
      <c r="B224" s="6" t="s">
        <v>172</v>
      </c>
      <c r="C224" s="6" t="s">
        <v>173</v>
      </c>
      <c r="D224" s="23">
        <v>8260</v>
      </c>
    </row>
    <row r="225" spans="1:4" x14ac:dyDescent="0.25">
      <c r="A225" s="7" t="s">
        <v>198</v>
      </c>
      <c r="B225" s="6" t="s">
        <v>174</v>
      </c>
      <c r="C225" s="6" t="s">
        <v>159</v>
      </c>
      <c r="D225" s="23">
        <v>18318</v>
      </c>
    </row>
    <row r="226" spans="1:4" x14ac:dyDescent="0.25">
      <c r="A226" s="7" t="s">
        <v>198</v>
      </c>
      <c r="B226" s="6" t="s">
        <v>194</v>
      </c>
      <c r="C226" s="6" t="s">
        <v>173</v>
      </c>
      <c r="D226" s="23">
        <v>41820</v>
      </c>
    </row>
    <row r="227" spans="1:4" x14ac:dyDescent="0.25">
      <c r="A227" s="7" t="s">
        <v>198</v>
      </c>
      <c r="B227" s="6" t="s">
        <v>175</v>
      </c>
      <c r="C227" s="6" t="s">
        <v>167</v>
      </c>
      <c r="D227" s="23">
        <v>2100</v>
      </c>
    </row>
    <row r="228" spans="1:4" x14ac:dyDescent="0.25">
      <c r="A228" s="7" t="s">
        <v>198</v>
      </c>
      <c r="B228" s="6" t="s">
        <v>195</v>
      </c>
      <c r="C228" s="6" t="s">
        <v>162</v>
      </c>
      <c r="D228" s="23">
        <v>605</v>
      </c>
    </row>
    <row r="229" spans="1:4" x14ac:dyDescent="0.25">
      <c r="A229" s="7" t="s">
        <v>198</v>
      </c>
      <c r="B229" s="6" t="s">
        <v>183</v>
      </c>
      <c r="C229" s="6" t="s">
        <v>167</v>
      </c>
      <c r="D229" s="23">
        <v>42028</v>
      </c>
    </row>
    <row r="230" spans="1:4" x14ac:dyDescent="0.25">
      <c r="A230" s="7" t="s">
        <v>198</v>
      </c>
      <c r="B230" s="6" t="s">
        <v>177</v>
      </c>
      <c r="C230" s="6" t="s">
        <v>173</v>
      </c>
      <c r="D230" s="23">
        <v>28355</v>
      </c>
    </row>
    <row r="231" spans="1:4" x14ac:dyDescent="0.25">
      <c r="A231" s="7" t="s">
        <v>198</v>
      </c>
      <c r="B231" s="6" t="s">
        <v>178</v>
      </c>
      <c r="C231" s="6" t="s">
        <v>173</v>
      </c>
      <c r="D231" s="23">
        <v>6104</v>
      </c>
    </row>
    <row r="232" spans="1:4" x14ac:dyDescent="0.25">
      <c r="A232" s="7" t="s">
        <v>198</v>
      </c>
      <c r="B232" s="6" t="s">
        <v>179</v>
      </c>
      <c r="C232" s="6" t="s">
        <v>164</v>
      </c>
      <c r="D232" s="23">
        <v>11220</v>
      </c>
    </row>
    <row r="233" spans="1:4" x14ac:dyDescent="0.25">
      <c r="A233" s="7" t="s">
        <v>198</v>
      </c>
      <c r="B233" s="6" t="s">
        <v>180</v>
      </c>
      <c r="C233" s="6" t="s">
        <v>167</v>
      </c>
      <c r="D233" s="23">
        <v>12600</v>
      </c>
    </row>
    <row r="234" spans="1:4" x14ac:dyDescent="0.25">
      <c r="A234" s="7" t="s">
        <v>199</v>
      </c>
      <c r="B234" s="6" t="s">
        <v>158</v>
      </c>
      <c r="C234" s="6" t="s">
        <v>159</v>
      </c>
      <c r="D234" s="23">
        <v>13772</v>
      </c>
    </row>
    <row r="235" spans="1:4" x14ac:dyDescent="0.25">
      <c r="A235" s="7" t="s">
        <v>199</v>
      </c>
      <c r="B235" s="6" t="s">
        <v>160</v>
      </c>
      <c r="C235" s="6" t="s">
        <v>159</v>
      </c>
      <c r="D235" s="23">
        <v>884</v>
      </c>
    </row>
    <row r="236" spans="1:4" x14ac:dyDescent="0.25">
      <c r="A236" s="7" t="s">
        <v>199</v>
      </c>
      <c r="B236" s="6" t="s">
        <v>192</v>
      </c>
      <c r="C236" s="6" t="s">
        <v>173</v>
      </c>
      <c r="D236" s="23">
        <v>70512</v>
      </c>
    </row>
    <row r="237" spans="1:4" x14ac:dyDescent="0.25">
      <c r="A237" s="7" t="s">
        <v>199</v>
      </c>
      <c r="B237" s="6" t="s">
        <v>163</v>
      </c>
      <c r="C237" s="6" t="s">
        <v>164</v>
      </c>
      <c r="D237" s="23">
        <v>695.99999999999989</v>
      </c>
    </row>
    <row r="238" spans="1:4" x14ac:dyDescent="0.25">
      <c r="A238" s="7" t="s">
        <v>199</v>
      </c>
      <c r="B238" s="6" t="s">
        <v>166</v>
      </c>
      <c r="C238" s="6" t="s">
        <v>167</v>
      </c>
      <c r="D238" s="23">
        <v>6068</v>
      </c>
    </row>
    <row r="239" spans="1:4" x14ac:dyDescent="0.25">
      <c r="A239" s="7" t="s">
        <v>199</v>
      </c>
      <c r="B239" s="6" t="s">
        <v>168</v>
      </c>
      <c r="C239" s="6" t="s">
        <v>164</v>
      </c>
      <c r="D239" s="23">
        <v>77120</v>
      </c>
    </row>
    <row r="240" spans="1:4" x14ac:dyDescent="0.25">
      <c r="A240" s="7" t="s">
        <v>199</v>
      </c>
      <c r="B240" s="6" t="s">
        <v>169</v>
      </c>
      <c r="C240" s="6" t="s">
        <v>159</v>
      </c>
      <c r="D240" s="23">
        <v>2261</v>
      </c>
    </row>
    <row r="241" spans="1:4" x14ac:dyDescent="0.25">
      <c r="A241" s="7" t="s">
        <v>199</v>
      </c>
      <c r="B241" s="6" t="s">
        <v>170</v>
      </c>
      <c r="C241" s="6" t="s">
        <v>159</v>
      </c>
      <c r="D241" s="23">
        <v>7368</v>
      </c>
    </row>
    <row r="242" spans="1:4" x14ac:dyDescent="0.25">
      <c r="A242" s="7" t="s">
        <v>199</v>
      </c>
      <c r="B242" s="6" t="s">
        <v>193</v>
      </c>
      <c r="C242" s="6" t="s">
        <v>173</v>
      </c>
      <c r="D242" s="23">
        <v>4864</v>
      </c>
    </row>
    <row r="243" spans="1:4" x14ac:dyDescent="0.25">
      <c r="A243" s="7" t="s">
        <v>199</v>
      </c>
      <c r="B243" s="6" t="s">
        <v>196</v>
      </c>
      <c r="C243" s="6" t="s">
        <v>167</v>
      </c>
      <c r="D243" s="23">
        <v>3526</v>
      </c>
    </row>
    <row r="244" spans="1:4" x14ac:dyDescent="0.25">
      <c r="A244" s="7" t="s">
        <v>199</v>
      </c>
      <c r="B244" s="6" t="s">
        <v>191</v>
      </c>
      <c r="C244" s="6" t="s">
        <v>162</v>
      </c>
      <c r="D244" s="23">
        <v>2201</v>
      </c>
    </row>
    <row r="245" spans="1:4" x14ac:dyDescent="0.25">
      <c r="A245" s="7" t="s">
        <v>199</v>
      </c>
      <c r="B245" s="6" t="s">
        <v>171</v>
      </c>
      <c r="C245" s="6" t="s">
        <v>164</v>
      </c>
      <c r="D245" s="23">
        <v>13338</v>
      </c>
    </row>
    <row r="246" spans="1:4" x14ac:dyDescent="0.25">
      <c r="A246" s="7" t="s">
        <v>199</v>
      </c>
      <c r="B246" s="6" t="s">
        <v>184</v>
      </c>
      <c r="C246" s="6" t="s">
        <v>159</v>
      </c>
      <c r="D246" s="23">
        <v>671.99999999999989</v>
      </c>
    </row>
    <row r="247" spans="1:4" x14ac:dyDescent="0.25">
      <c r="A247" s="7" t="s">
        <v>199</v>
      </c>
      <c r="B247" s="6" t="s">
        <v>189</v>
      </c>
      <c r="C247" s="6" t="s">
        <v>164</v>
      </c>
      <c r="D247" s="23">
        <v>1155</v>
      </c>
    </row>
    <row r="248" spans="1:4" x14ac:dyDescent="0.25">
      <c r="A248" s="7" t="s">
        <v>199</v>
      </c>
      <c r="B248" s="6" t="s">
        <v>174</v>
      </c>
      <c r="C248" s="6" t="s">
        <v>159</v>
      </c>
      <c r="D248" s="23">
        <v>11715</v>
      </c>
    </row>
    <row r="249" spans="1:4" x14ac:dyDescent="0.25">
      <c r="A249" s="7" t="s">
        <v>199</v>
      </c>
      <c r="B249" s="6" t="s">
        <v>194</v>
      </c>
      <c r="C249" s="6" t="s">
        <v>173</v>
      </c>
      <c r="D249" s="23">
        <v>42024</v>
      </c>
    </row>
    <row r="250" spans="1:4" x14ac:dyDescent="0.25">
      <c r="A250" s="7" t="s">
        <v>199</v>
      </c>
      <c r="B250" s="6" t="s">
        <v>175</v>
      </c>
      <c r="C250" s="6" t="s">
        <v>167</v>
      </c>
      <c r="D250" s="23">
        <v>2100</v>
      </c>
    </row>
    <row r="251" spans="1:4" x14ac:dyDescent="0.25">
      <c r="A251" s="7" t="s">
        <v>199</v>
      </c>
      <c r="B251" s="6" t="s">
        <v>176</v>
      </c>
      <c r="C251" s="6" t="s">
        <v>164</v>
      </c>
      <c r="D251" s="23">
        <v>2856</v>
      </c>
    </row>
    <row r="252" spans="1:4" x14ac:dyDescent="0.25">
      <c r="A252" s="7" t="s">
        <v>199</v>
      </c>
      <c r="B252" s="6" t="s">
        <v>195</v>
      </c>
      <c r="C252" s="6" t="s">
        <v>162</v>
      </c>
      <c r="D252" s="23">
        <v>1331</v>
      </c>
    </row>
    <row r="253" spans="1:4" x14ac:dyDescent="0.25">
      <c r="A253" s="7" t="s">
        <v>199</v>
      </c>
      <c r="B253" s="6" t="s">
        <v>183</v>
      </c>
      <c r="C253" s="6" t="s">
        <v>167</v>
      </c>
      <c r="D253" s="23">
        <v>9796</v>
      </c>
    </row>
    <row r="254" spans="1:4" x14ac:dyDescent="0.25">
      <c r="A254" s="7" t="s">
        <v>199</v>
      </c>
      <c r="B254" s="6" t="s">
        <v>177</v>
      </c>
      <c r="C254" s="6" t="s">
        <v>173</v>
      </c>
      <c r="D254" s="23">
        <v>6206</v>
      </c>
    </row>
    <row r="255" spans="1:4" x14ac:dyDescent="0.25">
      <c r="A255" s="7" t="s">
        <v>199</v>
      </c>
      <c r="B255" s="6" t="s">
        <v>178</v>
      </c>
      <c r="C255" s="6" t="s">
        <v>173</v>
      </c>
      <c r="D255" s="23">
        <v>1853</v>
      </c>
    </row>
    <row r="256" spans="1:4" x14ac:dyDescent="0.25">
      <c r="A256" s="7" t="s">
        <v>199</v>
      </c>
      <c r="B256" s="6" t="s">
        <v>179</v>
      </c>
      <c r="C256" s="6" t="s">
        <v>164</v>
      </c>
      <c r="D256" s="23">
        <v>8568</v>
      </c>
    </row>
    <row r="257" spans="1:4" x14ac:dyDescent="0.25">
      <c r="A257" s="7" t="s">
        <v>199</v>
      </c>
      <c r="B257" s="6" t="s">
        <v>180</v>
      </c>
      <c r="C257" s="6" t="s">
        <v>167</v>
      </c>
      <c r="D257" s="23">
        <v>5580</v>
      </c>
    </row>
    <row r="258" spans="1:4" x14ac:dyDescent="0.25">
      <c r="A258" s="7" t="s">
        <v>199</v>
      </c>
      <c r="B258" s="6" t="s">
        <v>186</v>
      </c>
      <c r="C258" s="6" t="s">
        <v>167</v>
      </c>
      <c r="D258" s="23">
        <v>10925</v>
      </c>
    </row>
    <row r="259" spans="1:4" x14ac:dyDescent="0.25">
      <c r="A259" s="7" t="s">
        <v>199</v>
      </c>
      <c r="B259" s="6" t="s">
        <v>182</v>
      </c>
      <c r="C259" s="6" t="s">
        <v>162</v>
      </c>
      <c r="D259" s="23">
        <v>1150</v>
      </c>
    </row>
    <row r="260" spans="1:4" x14ac:dyDescent="0.25">
      <c r="A260" s="7" t="s">
        <v>199</v>
      </c>
      <c r="B260" s="6" t="s">
        <v>185</v>
      </c>
      <c r="C260" s="6" t="s">
        <v>164</v>
      </c>
      <c r="D260" s="23">
        <v>5312</v>
      </c>
    </row>
    <row r="261" spans="1:4" x14ac:dyDescent="0.25">
      <c r="A261" s="7" t="s">
        <v>199</v>
      </c>
      <c r="B261" s="6" t="s">
        <v>158</v>
      </c>
      <c r="C261" s="6" t="s">
        <v>159</v>
      </c>
      <c r="D261" s="23">
        <v>19093</v>
      </c>
    </row>
    <row r="262" spans="1:4" x14ac:dyDescent="0.25">
      <c r="A262" s="7" t="s">
        <v>199</v>
      </c>
      <c r="B262" s="6" t="s">
        <v>160</v>
      </c>
      <c r="C262" s="6" t="s">
        <v>159</v>
      </c>
      <c r="D262" s="23">
        <v>4148</v>
      </c>
    </row>
    <row r="263" spans="1:4" x14ac:dyDescent="0.25">
      <c r="A263" s="7" t="s">
        <v>199</v>
      </c>
      <c r="B263" s="6" t="s">
        <v>192</v>
      </c>
      <c r="C263" s="6" t="s">
        <v>173</v>
      </c>
      <c r="D263" s="23">
        <v>81699</v>
      </c>
    </row>
    <row r="264" spans="1:4" x14ac:dyDescent="0.25">
      <c r="A264" s="7" t="s">
        <v>199</v>
      </c>
      <c r="B264" s="6" t="s">
        <v>165</v>
      </c>
      <c r="C264" s="6" t="s">
        <v>162</v>
      </c>
      <c r="D264" s="23">
        <v>3030</v>
      </c>
    </row>
    <row r="265" spans="1:4" x14ac:dyDescent="0.25">
      <c r="A265" s="7" t="s">
        <v>199</v>
      </c>
      <c r="B265" s="6" t="s">
        <v>166</v>
      </c>
      <c r="C265" s="6" t="s">
        <v>167</v>
      </c>
      <c r="D265" s="23">
        <v>5032</v>
      </c>
    </row>
    <row r="266" spans="1:4" x14ac:dyDescent="0.25">
      <c r="A266" s="7" t="s">
        <v>199</v>
      </c>
      <c r="B266" s="6" t="s">
        <v>168</v>
      </c>
      <c r="C266" s="6" t="s">
        <v>164</v>
      </c>
      <c r="D266" s="23">
        <v>24100</v>
      </c>
    </row>
    <row r="267" spans="1:4" x14ac:dyDescent="0.25">
      <c r="A267" s="7" t="s">
        <v>199</v>
      </c>
      <c r="B267" s="6" t="s">
        <v>169</v>
      </c>
      <c r="C267" s="6" t="s">
        <v>159</v>
      </c>
      <c r="D267" s="23">
        <v>3324.9999999999995</v>
      </c>
    </row>
    <row r="268" spans="1:4" x14ac:dyDescent="0.25">
      <c r="A268" s="7" t="s">
        <v>199</v>
      </c>
      <c r="B268" s="6" t="s">
        <v>170</v>
      </c>
      <c r="C268" s="6" t="s">
        <v>159</v>
      </c>
      <c r="D268" s="23">
        <v>1535</v>
      </c>
    </row>
    <row r="269" spans="1:4" x14ac:dyDescent="0.25">
      <c r="A269" s="7" t="s">
        <v>199</v>
      </c>
      <c r="B269" s="6" t="s">
        <v>193</v>
      </c>
      <c r="C269" s="6" t="s">
        <v>173</v>
      </c>
      <c r="D269" s="23">
        <v>3072</v>
      </c>
    </row>
    <row r="270" spans="1:4" x14ac:dyDescent="0.25">
      <c r="A270" s="7" t="s">
        <v>199</v>
      </c>
      <c r="B270" s="6" t="s">
        <v>196</v>
      </c>
      <c r="C270" s="6" t="s">
        <v>167</v>
      </c>
      <c r="D270" s="23">
        <v>1394</v>
      </c>
    </row>
    <row r="271" spans="1:4" x14ac:dyDescent="0.25">
      <c r="A271" s="7" t="s">
        <v>199</v>
      </c>
      <c r="B271" s="6" t="s">
        <v>191</v>
      </c>
      <c r="C271" s="6" t="s">
        <v>162</v>
      </c>
      <c r="D271" s="23">
        <v>2201</v>
      </c>
    </row>
    <row r="272" spans="1:4" x14ac:dyDescent="0.25">
      <c r="A272" s="7" t="s">
        <v>199</v>
      </c>
      <c r="B272" s="6" t="s">
        <v>171</v>
      </c>
      <c r="C272" s="6" t="s">
        <v>164</v>
      </c>
      <c r="D272" s="23">
        <v>12636</v>
      </c>
    </row>
    <row r="273" spans="1:4" x14ac:dyDescent="0.25">
      <c r="A273" s="7" t="s">
        <v>199</v>
      </c>
      <c r="B273" s="6" t="s">
        <v>184</v>
      </c>
      <c r="C273" s="6" t="s">
        <v>159</v>
      </c>
      <c r="D273" s="23">
        <v>223.99999999999997</v>
      </c>
    </row>
    <row r="274" spans="1:4" x14ac:dyDescent="0.25">
      <c r="A274" s="7" t="s">
        <v>199</v>
      </c>
      <c r="B274" s="6" t="s">
        <v>172</v>
      </c>
      <c r="C274" s="6" t="s">
        <v>173</v>
      </c>
      <c r="D274" s="23">
        <v>9676</v>
      </c>
    </row>
    <row r="275" spans="1:4" x14ac:dyDescent="0.25">
      <c r="A275" s="7" t="s">
        <v>199</v>
      </c>
      <c r="B275" s="6" t="s">
        <v>194</v>
      </c>
      <c r="C275" s="6" t="s">
        <v>173</v>
      </c>
      <c r="D275" s="23">
        <v>30396</v>
      </c>
    </row>
    <row r="276" spans="1:4" x14ac:dyDescent="0.25">
      <c r="A276" s="7" t="s">
        <v>199</v>
      </c>
      <c r="B276" s="6" t="s">
        <v>175</v>
      </c>
      <c r="C276" s="6" t="s">
        <v>167</v>
      </c>
      <c r="D276" s="23">
        <v>7560</v>
      </c>
    </row>
    <row r="277" spans="1:4" x14ac:dyDescent="0.25">
      <c r="A277" s="7" t="s">
        <v>199</v>
      </c>
      <c r="B277" s="6" t="s">
        <v>195</v>
      </c>
      <c r="C277" s="6" t="s">
        <v>162</v>
      </c>
      <c r="D277" s="23">
        <v>1694.0000000000002</v>
      </c>
    </row>
    <row r="278" spans="1:4" x14ac:dyDescent="0.25">
      <c r="A278" s="7" t="s">
        <v>199</v>
      </c>
      <c r="B278" s="6" t="s">
        <v>183</v>
      </c>
      <c r="C278" s="6" t="s">
        <v>167</v>
      </c>
      <c r="D278" s="23">
        <v>18644</v>
      </c>
    </row>
    <row r="279" spans="1:4" x14ac:dyDescent="0.25">
      <c r="A279" s="7" t="s">
        <v>199</v>
      </c>
      <c r="B279" s="6" t="s">
        <v>177</v>
      </c>
      <c r="C279" s="6" t="s">
        <v>173</v>
      </c>
      <c r="D279" s="23">
        <v>12412</v>
      </c>
    </row>
    <row r="280" spans="1:4" x14ac:dyDescent="0.25">
      <c r="A280" s="7" t="s">
        <v>199</v>
      </c>
      <c r="B280" s="6" t="s">
        <v>178</v>
      </c>
      <c r="C280" s="6" t="s">
        <v>173</v>
      </c>
      <c r="D280" s="23">
        <v>4469</v>
      </c>
    </row>
    <row r="281" spans="1:4" x14ac:dyDescent="0.25">
      <c r="A281" s="7" t="s">
        <v>199</v>
      </c>
      <c r="B281" s="6" t="s">
        <v>179</v>
      </c>
      <c r="C281" s="6" t="s">
        <v>164</v>
      </c>
      <c r="D281" s="23">
        <v>7344</v>
      </c>
    </row>
    <row r="282" spans="1:4" x14ac:dyDescent="0.25">
      <c r="A282" s="7" t="s">
        <v>199</v>
      </c>
      <c r="B282" s="6" t="s">
        <v>180</v>
      </c>
      <c r="C282" s="6" t="s">
        <v>167</v>
      </c>
      <c r="D282" s="23">
        <v>6120</v>
      </c>
    </row>
    <row r="283" spans="1:4" x14ac:dyDescent="0.25">
      <c r="A283" s="7" t="s">
        <v>199</v>
      </c>
      <c r="B283" s="6" t="s">
        <v>158</v>
      </c>
      <c r="C283" s="6" t="s">
        <v>159</v>
      </c>
      <c r="D283" s="23">
        <v>46950</v>
      </c>
    </row>
    <row r="284" spans="1:4" x14ac:dyDescent="0.25">
      <c r="A284" s="7" t="s">
        <v>199</v>
      </c>
      <c r="B284" s="6" t="s">
        <v>160</v>
      </c>
      <c r="C284" s="6" t="s">
        <v>159</v>
      </c>
      <c r="D284" s="23">
        <v>1700</v>
      </c>
    </row>
    <row r="285" spans="1:4" x14ac:dyDescent="0.25">
      <c r="A285" s="7" t="s">
        <v>199</v>
      </c>
      <c r="B285" s="6" t="s">
        <v>192</v>
      </c>
      <c r="C285" s="6" t="s">
        <v>173</v>
      </c>
      <c r="D285" s="23">
        <v>111531</v>
      </c>
    </row>
    <row r="286" spans="1:4" x14ac:dyDescent="0.25">
      <c r="A286" s="7" t="s">
        <v>199</v>
      </c>
      <c r="B286" s="6" t="s">
        <v>165</v>
      </c>
      <c r="C286" s="6" t="s">
        <v>162</v>
      </c>
      <c r="D286" s="23">
        <v>9696</v>
      </c>
    </row>
    <row r="287" spans="1:4" x14ac:dyDescent="0.25">
      <c r="A287" s="7" t="s">
        <v>199</v>
      </c>
      <c r="B287" s="6" t="s">
        <v>166</v>
      </c>
      <c r="C287" s="6" t="s">
        <v>167</v>
      </c>
      <c r="D287" s="23">
        <v>10508</v>
      </c>
    </row>
    <row r="288" spans="1:4" x14ac:dyDescent="0.25">
      <c r="A288" s="7" t="s">
        <v>199</v>
      </c>
      <c r="B288" s="6" t="s">
        <v>168</v>
      </c>
      <c r="C288" s="6" t="s">
        <v>164</v>
      </c>
      <c r="D288" s="23">
        <v>64588</v>
      </c>
    </row>
    <row r="289" spans="1:4" x14ac:dyDescent="0.25">
      <c r="A289" s="7" t="s">
        <v>199</v>
      </c>
      <c r="B289" s="6" t="s">
        <v>169</v>
      </c>
      <c r="C289" s="6" t="s">
        <v>159</v>
      </c>
      <c r="D289" s="23">
        <v>19817</v>
      </c>
    </row>
    <row r="290" spans="1:4" x14ac:dyDescent="0.25">
      <c r="A290" s="7" t="s">
        <v>199</v>
      </c>
      <c r="B290" s="6" t="s">
        <v>170</v>
      </c>
      <c r="C290" s="6" t="s">
        <v>159</v>
      </c>
      <c r="D290" s="23">
        <v>35612</v>
      </c>
    </row>
    <row r="291" spans="1:4" x14ac:dyDescent="0.25">
      <c r="A291" s="7" t="s">
        <v>199</v>
      </c>
      <c r="B291" s="6" t="s">
        <v>193</v>
      </c>
      <c r="C291" s="6" t="s">
        <v>173</v>
      </c>
      <c r="D291" s="23">
        <v>5056</v>
      </c>
    </row>
    <row r="292" spans="1:4" x14ac:dyDescent="0.25">
      <c r="A292" s="7" t="s">
        <v>199</v>
      </c>
      <c r="B292" s="6" t="s">
        <v>196</v>
      </c>
      <c r="C292" s="6" t="s">
        <v>167</v>
      </c>
      <c r="D292" s="23">
        <v>2460</v>
      </c>
    </row>
    <row r="293" spans="1:4" x14ac:dyDescent="0.25">
      <c r="A293" s="7" t="s">
        <v>199</v>
      </c>
      <c r="B293" s="6" t="s">
        <v>171</v>
      </c>
      <c r="C293" s="6" t="s">
        <v>164</v>
      </c>
      <c r="D293" s="23">
        <v>33345</v>
      </c>
    </row>
    <row r="294" spans="1:4" x14ac:dyDescent="0.25">
      <c r="A294" s="7" t="s">
        <v>199</v>
      </c>
      <c r="B294" s="6" t="s">
        <v>184</v>
      </c>
      <c r="C294" s="6" t="s">
        <v>159</v>
      </c>
      <c r="D294" s="23">
        <v>895.99999999999989</v>
      </c>
    </row>
    <row r="295" spans="1:4" x14ac:dyDescent="0.25">
      <c r="A295" s="7" t="s">
        <v>199</v>
      </c>
      <c r="B295" s="6" t="s">
        <v>189</v>
      </c>
      <c r="C295" s="6" t="s">
        <v>164</v>
      </c>
      <c r="D295" s="23">
        <v>461.99999999999994</v>
      </c>
    </row>
    <row r="296" spans="1:4" x14ac:dyDescent="0.25">
      <c r="A296" s="7" t="s">
        <v>199</v>
      </c>
      <c r="B296" s="6" t="s">
        <v>172</v>
      </c>
      <c r="C296" s="6" t="s">
        <v>173</v>
      </c>
      <c r="D296" s="23">
        <v>3304</v>
      </c>
    </row>
    <row r="297" spans="1:4" x14ac:dyDescent="0.25">
      <c r="A297" s="7" t="s">
        <v>199</v>
      </c>
      <c r="B297" s="6" t="s">
        <v>174</v>
      </c>
      <c r="C297" s="6" t="s">
        <v>159</v>
      </c>
      <c r="D297" s="23">
        <v>28116</v>
      </c>
    </row>
    <row r="298" spans="1:4" x14ac:dyDescent="0.25">
      <c r="A298" s="7" t="s">
        <v>199</v>
      </c>
      <c r="B298" s="6" t="s">
        <v>194</v>
      </c>
      <c r="C298" s="6" t="s">
        <v>173</v>
      </c>
      <c r="D298" s="23">
        <v>58344</v>
      </c>
    </row>
    <row r="299" spans="1:4" x14ac:dyDescent="0.25">
      <c r="A299" s="7" t="s">
        <v>199</v>
      </c>
      <c r="B299" s="6" t="s">
        <v>183</v>
      </c>
      <c r="C299" s="6" t="s">
        <v>167</v>
      </c>
      <c r="D299" s="23">
        <v>8216</v>
      </c>
    </row>
    <row r="300" spans="1:4" x14ac:dyDescent="0.25">
      <c r="A300" s="7" t="s">
        <v>199</v>
      </c>
      <c r="B300" s="6" t="s">
        <v>177</v>
      </c>
      <c r="C300" s="6" t="s">
        <v>173</v>
      </c>
      <c r="D300" s="23">
        <v>26215</v>
      </c>
    </row>
    <row r="301" spans="1:4" x14ac:dyDescent="0.25">
      <c r="A301" s="7" t="s">
        <v>199</v>
      </c>
      <c r="B301" s="6" t="s">
        <v>188</v>
      </c>
      <c r="C301" s="6" t="s">
        <v>173</v>
      </c>
      <c r="D301" s="23">
        <v>5952</v>
      </c>
    </row>
    <row r="302" spans="1:4" x14ac:dyDescent="0.25">
      <c r="A302" s="7" t="s">
        <v>199</v>
      </c>
      <c r="B302" s="6" t="s">
        <v>178</v>
      </c>
      <c r="C302" s="6" t="s">
        <v>173</v>
      </c>
      <c r="D302" s="23">
        <v>5995</v>
      </c>
    </row>
    <row r="303" spans="1:4" x14ac:dyDescent="0.25">
      <c r="A303" s="7" t="s">
        <v>199</v>
      </c>
      <c r="B303" s="6" t="s">
        <v>190</v>
      </c>
      <c r="C303" s="6" t="s">
        <v>162</v>
      </c>
      <c r="D303" s="23">
        <v>336</v>
      </c>
    </row>
    <row r="304" spans="1:4" x14ac:dyDescent="0.25">
      <c r="A304" s="7" t="s">
        <v>199</v>
      </c>
      <c r="B304" s="6" t="s">
        <v>179</v>
      </c>
      <c r="C304" s="6" t="s">
        <v>164</v>
      </c>
      <c r="D304" s="23">
        <v>9792</v>
      </c>
    </row>
    <row r="305" spans="1:4" x14ac:dyDescent="0.25">
      <c r="A305" s="7" t="s">
        <v>199</v>
      </c>
      <c r="B305" s="6" t="s">
        <v>180</v>
      </c>
      <c r="C305" s="6" t="s">
        <v>167</v>
      </c>
      <c r="D305" s="23">
        <v>13680</v>
      </c>
    </row>
    <row r="306" spans="1:4" x14ac:dyDescent="0.25">
      <c r="A306" s="7" t="s">
        <v>199</v>
      </c>
      <c r="B306" s="6" t="s">
        <v>181</v>
      </c>
      <c r="C306" s="6" t="s">
        <v>159</v>
      </c>
      <c r="D306" s="23">
        <v>3808</v>
      </c>
    </row>
    <row r="307" spans="1:4" x14ac:dyDescent="0.25">
      <c r="A307" s="7" t="s">
        <v>199</v>
      </c>
      <c r="B307" s="6" t="s">
        <v>182</v>
      </c>
      <c r="C307" s="6" t="s">
        <v>162</v>
      </c>
      <c r="D307" s="23">
        <v>14720.000000000002</v>
      </c>
    </row>
    <row r="308" spans="1:4" x14ac:dyDescent="0.25">
      <c r="A308" s="7" t="s">
        <v>200</v>
      </c>
      <c r="B308" s="6" t="s">
        <v>158</v>
      </c>
      <c r="C308" s="6" t="s">
        <v>159</v>
      </c>
      <c r="D308" s="23">
        <v>29735</v>
      </c>
    </row>
    <row r="309" spans="1:4" x14ac:dyDescent="0.25">
      <c r="A309" s="7" t="s">
        <v>200</v>
      </c>
      <c r="B309" s="6" t="s">
        <v>160</v>
      </c>
      <c r="C309" s="6" t="s">
        <v>159</v>
      </c>
      <c r="D309" s="23">
        <v>1564</v>
      </c>
    </row>
    <row r="310" spans="1:4" x14ac:dyDescent="0.25">
      <c r="A310" s="7" t="s">
        <v>200</v>
      </c>
      <c r="B310" s="6" t="s">
        <v>192</v>
      </c>
      <c r="C310" s="6" t="s">
        <v>173</v>
      </c>
      <c r="D310" s="23">
        <v>32883</v>
      </c>
    </row>
    <row r="311" spans="1:4" x14ac:dyDescent="0.25">
      <c r="A311" s="7" t="s">
        <v>200</v>
      </c>
      <c r="B311" s="6" t="s">
        <v>165</v>
      </c>
      <c r="C311" s="6" t="s">
        <v>162</v>
      </c>
      <c r="D311" s="23">
        <v>5656</v>
      </c>
    </row>
    <row r="312" spans="1:4" x14ac:dyDescent="0.25">
      <c r="A312" s="7" t="s">
        <v>200</v>
      </c>
      <c r="B312" s="6" t="s">
        <v>166</v>
      </c>
      <c r="C312" s="6" t="s">
        <v>167</v>
      </c>
      <c r="D312" s="23">
        <v>2072</v>
      </c>
    </row>
    <row r="313" spans="1:4" x14ac:dyDescent="0.25">
      <c r="A313" s="7" t="s">
        <v>200</v>
      </c>
      <c r="B313" s="6" t="s">
        <v>168</v>
      </c>
      <c r="C313" s="6" t="s">
        <v>164</v>
      </c>
      <c r="D313" s="23">
        <v>152312</v>
      </c>
    </row>
    <row r="314" spans="1:4" x14ac:dyDescent="0.25">
      <c r="A314" s="7" t="s">
        <v>200</v>
      </c>
      <c r="B314" s="6" t="s">
        <v>169</v>
      </c>
      <c r="C314" s="6" t="s">
        <v>159</v>
      </c>
      <c r="D314" s="23">
        <v>14230.999999999998</v>
      </c>
    </row>
    <row r="315" spans="1:4" x14ac:dyDescent="0.25">
      <c r="A315" s="7" t="s">
        <v>200</v>
      </c>
      <c r="B315" s="6" t="s">
        <v>170</v>
      </c>
      <c r="C315" s="6" t="s">
        <v>159</v>
      </c>
      <c r="D315" s="23">
        <v>10438</v>
      </c>
    </row>
    <row r="316" spans="1:4" x14ac:dyDescent="0.25">
      <c r="A316" s="7" t="s">
        <v>200</v>
      </c>
      <c r="B316" s="6" t="s">
        <v>193</v>
      </c>
      <c r="C316" s="6" t="s">
        <v>173</v>
      </c>
      <c r="D316" s="23">
        <v>7936</v>
      </c>
    </row>
    <row r="317" spans="1:4" x14ac:dyDescent="0.25">
      <c r="A317" s="7" t="s">
        <v>200</v>
      </c>
      <c r="B317" s="6" t="s">
        <v>196</v>
      </c>
      <c r="C317" s="6" t="s">
        <v>167</v>
      </c>
      <c r="D317" s="23">
        <v>410</v>
      </c>
    </row>
    <row r="318" spans="1:4" x14ac:dyDescent="0.25">
      <c r="A318" s="7" t="s">
        <v>200</v>
      </c>
      <c r="B318" s="6" t="s">
        <v>191</v>
      </c>
      <c r="C318" s="6" t="s">
        <v>162</v>
      </c>
      <c r="D318" s="23">
        <v>2272</v>
      </c>
    </row>
    <row r="319" spans="1:4" x14ac:dyDescent="0.25">
      <c r="A319" s="7" t="s">
        <v>200</v>
      </c>
      <c r="B319" s="6" t="s">
        <v>171</v>
      </c>
      <c r="C319" s="6" t="s">
        <v>164</v>
      </c>
      <c r="D319" s="23">
        <v>16848</v>
      </c>
    </row>
    <row r="320" spans="1:4" x14ac:dyDescent="0.25">
      <c r="A320" s="7" t="s">
        <v>200</v>
      </c>
      <c r="B320" s="6" t="s">
        <v>184</v>
      </c>
      <c r="C320" s="6" t="s">
        <v>159</v>
      </c>
      <c r="D320" s="23">
        <v>1064</v>
      </c>
    </row>
    <row r="321" spans="1:4" x14ac:dyDescent="0.25">
      <c r="A321" s="7" t="s">
        <v>200</v>
      </c>
      <c r="B321" s="6" t="s">
        <v>174</v>
      </c>
      <c r="C321" s="6" t="s">
        <v>159</v>
      </c>
      <c r="D321" s="23">
        <v>20874</v>
      </c>
    </row>
    <row r="322" spans="1:4" x14ac:dyDescent="0.25">
      <c r="A322" s="7" t="s">
        <v>200</v>
      </c>
      <c r="B322" s="6" t="s">
        <v>194</v>
      </c>
      <c r="C322" s="6" t="s">
        <v>173</v>
      </c>
      <c r="D322" s="23">
        <v>54672</v>
      </c>
    </row>
    <row r="323" spans="1:4" x14ac:dyDescent="0.25">
      <c r="A323" s="7" t="s">
        <v>200</v>
      </c>
      <c r="B323" s="6" t="s">
        <v>175</v>
      </c>
      <c r="C323" s="6" t="s">
        <v>167</v>
      </c>
      <c r="D323" s="23">
        <v>10080</v>
      </c>
    </row>
    <row r="324" spans="1:4" x14ac:dyDescent="0.25">
      <c r="A324" s="7" t="s">
        <v>200</v>
      </c>
      <c r="B324" s="6" t="s">
        <v>195</v>
      </c>
      <c r="C324" s="6" t="s">
        <v>162</v>
      </c>
      <c r="D324" s="23">
        <v>9438</v>
      </c>
    </row>
    <row r="325" spans="1:4" x14ac:dyDescent="0.25">
      <c r="A325" s="7" t="s">
        <v>200</v>
      </c>
      <c r="B325" s="6" t="s">
        <v>183</v>
      </c>
      <c r="C325" s="6" t="s">
        <v>167</v>
      </c>
      <c r="D325" s="23">
        <v>5688</v>
      </c>
    </row>
    <row r="326" spans="1:4" x14ac:dyDescent="0.25">
      <c r="A326" s="7" t="s">
        <v>200</v>
      </c>
      <c r="B326" s="6" t="s">
        <v>177</v>
      </c>
      <c r="C326" s="6" t="s">
        <v>173</v>
      </c>
      <c r="D326" s="23">
        <v>27606</v>
      </c>
    </row>
    <row r="327" spans="1:4" x14ac:dyDescent="0.25">
      <c r="A327" s="7" t="s">
        <v>200</v>
      </c>
      <c r="B327" s="6" t="s">
        <v>188</v>
      </c>
      <c r="C327" s="6" t="s">
        <v>173</v>
      </c>
      <c r="D327" s="23">
        <v>4216</v>
      </c>
    </row>
    <row r="328" spans="1:4" x14ac:dyDescent="0.25">
      <c r="A328" s="7" t="s">
        <v>200</v>
      </c>
      <c r="B328" s="6" t="s">
        <v>178</v>
      </c>
      <c r="C328" s="6" t="s">
        <v>173</v>
      </c>
      <c r="D328" s="23">
        <v>1090</v>
      </c>
    </row>
    <row r="329" spans="1:4" x14ac:dyDescent="0.25">
      <c r="A329" s="7" t="s">
        <v>200</v>
      </c>
      <c r="B329" s="6" t="s">
        <v>179</v>
      </c>
      <c r="C329" s="6" t="s">
        <v>164</v>
      </c>
      <c r="D329" s="23">
        <v>3162</v>
      </c>
    </row>
    <row r="330" spans="1:4" x14ac:dyDescent="0.25">
      <c r="A330" s="7" t="s">
        <v>200</v>
      </c>
      <c r="B330" s="6" t="s">
        <v>180</v>
      </c>
      <c r="C330" s="6" t="s">
        <v>167</v>
      </c>
      <c r="D330" s="23">
        <v>12240</v>
      </c>
    </row>
    <row r="331" spans="1:4" x14ac:dyDescent="0.25">
      <c r="A331" s="7" t="s">
        <v>200</v>
      </c>
      <c r="B331" s="6" t="s">
        <v>181</v>
      </c>
      <c r="C331" s="6" t="s">
        <v>159</v>
      </c>
      <c r="D331" s="23">
        <v>10948</v>
      </c>
    </row>
    <row r="332" spans="1:4" x14ac:dyDescent="0.25">
      <c r="A332" s="7" t="s">
        <v>200</v>
      </c>
      <c r="B332" s="6" t="s">
        <v>185</v>
      </c>
      <c r="C332" s="6" t="s">
        <v>164</v>
      </c>
      <c r="D332" s="23">
        <v>2822</v>
      </c>
    </row>
    <row r="333" spans="1:4" x14ac:dyDescent="0.25">
      <c r="A333" s="7" t="s">
        <v>200</v>
      </c>
      <c r="B333" s="6" t="s">
        <v>158</v>
      </c>
      <c r="C333" s="6" t="s">
        <v>159</v>
      </c>
      <c r="D333" s="23">
        <v>39125</v>
      </c>
    </row>
    <row r="334" spans="1:4" x14ac:dyDescent="0.25">
      <c r="A334" s="7" t="s">
        <v>200</v>
      </c>
      <c r="B334" s="6" t="s">
        <v>160</v>
      </c>
      <c r="C334" s="6" t="s">
        <v>159</v>
      </c>
      <c r="D334" s="23">
        <v>5236</v>
      </c>
    </row>
    <row r="335" spans="1:4" x14ac:dyDescent="0.25">
      <c r="A335" s="7" t="s">
        <v>200</v>
      </c>
      <c r="B335" s="6" t="s">
        <v>192</v>
      </c>
      <c r="C335" s="6" t="s">
        <v>173</v>
      </c>
      <c r="D335" s="23">
        <v>89835</v>
      </c>
    </row>
    <row r="336" spans="1:4" x14ac:dyDescent="0.25">
      <c r="A336" s="7" t="s">
        <v>200</v>
      </c>
      <c r="B336" s="6" t="s">
        <v>165</v>
      </c>
      <c r="C336" s="6" t="s">
        <v>162</v>
      </c>
      <c r="D336" s="23">
        <v>5656</v>
      </c>
    </row>
    <row r="337" spans="1:4" x14ac:dyDescent="0.25">
      <c r="A337" s="7" t="s">
        <v>200</v>
      </c>
      <c r="B337" s="6" t="s">
        <v>166</v>
      </c>
      <c r="C337" s="6" t="s">
        <v>167</v>
      </c>
      <c r="D337" s="23">
        <v>6512</v>
      </c>
    </row>
    <row r="338" spans="1:4" x14ac:dyDescent="0.25">
      <c r="A338" s="7" t="s">
        <v>200</v>
      </c>
      <c r="B338" s="6" t="s">
        <v>168</v>
      </c>
      <c r="C338" s="6" t="s">
        <v>164</v>
      </c>
      <c r="D338" s="23">
        <v>108932</v>
      </c>
    </row>
    <row r="339" spans="1:4" x14ac:dyDescent="0.25">
      <c r="A339" s="7" t="s">
        <v>200</v>
      </c>
      <c r="B339" s="6" t="s">
        <v>169</v>
      </c>
      <c r="C339" s="6" t="s">
        <v>159</v>
      </c>
      <c r="D339" s="23">
        <v>15294.999999999998</v>
      </c>
    </row>
    <row r="340" spans="1:4" x14ac:dyDescent="0.25">
      <c r="A340" s="7" t="s">
        <v>200</v>
      </c>
      <c r="B340" s="6" t="s">
        <v>170</v>
      </c>
      <c r="C340" s="6" t="s">
        <v>159</v>
      </c>
      <c r="D340" s="23">
        <v>9517</v>
      </c>
    </row>
    <row r="341" spans="1:4" x14ac:dyDescent="0.25">
      <c r="A341" s="7" t="s">
        <v>200</v>
      </c>
      <c r="B341" s="6" t="s">
        <v>193</v>
      </c>
      <c r="C341" s="6" t="s">
        <v>173</v>
      </c>
      <c r="D341" s="23">
        <v>2624</v>
      </c>
    </row>
    <row r="342" spans="1:4" x14ac:dyDescent="0.25">
      <c r="A342" s="7" t="s">
        <v>200</v>
      </c>
      <c r="B342" s="6" t="s">
        <v>196</v>
      </c>
      <c r="C342" s="6" t="s">
        <v>167</v>
      </c>
      <c r="D342" s="23">
        <v>4428</v>
      </c>
    </row>
    <row r="343" spans="1:4" x14ac:dyDescent="0.25">
      <c r="A343" s="7" t="s">
        <v>200</v>
      </c>
      <c r="B343" s="6" t="s">
        <v>191</v>
      </c>
      <c r="C343" s="6" t="s">
        <v>162</v>
      </c>
      <c r="D343" s="23">
        <v>5893</v>
      </c>
    </row>
    <row r="344" spans="1:4" x14ac:dyDescent="0.25">
      <c r="A344" s="7" t="s">
        <v>200</v>
      </c>
      <c r="B344" s="6" t="s">
        <v>171</v>
      </c>
      <c r="C344" s="6" t="s">
        <v>164</v>
      </c>
      <c r="D344" s="23">
        <v>13338</v>
      </c>
    </row>
    <row r="345" spans="1:4" x14ac:dyDescent="0.25">
      <c r="A345" s="7" t="s">
        <v>200</v>
      </c>
      <c r="B345" s="6" t="s">
        <v>184</v>
      </c>
      <c r="C345" s="6" t="s">
        <v>159</v>
      </c>
      <c r="D345" s="23">
        <v>783.99999999999989</v>
      </c>
    </row>
    <row r="346" spans="1:4" x14ac:dyDescent="0.25">
      <c r="A346" s="7" t="s">
        <v>200</v>
      </c>
      <c r="B346" s="6" t="s">
        <v>189</v>
      </c>
      <c r="C346" s="6" t="s">
        <v>164</v>
      </c>
      <c r="D346" s="23">
        <v>3234</v>
      </c>
    </row>
    <row r="347" spans="1:4" x14ac:dyDescent="0.25">
      <c r="A347" s="7" t="s">
        <v>200</v>
      </c>
      <c r="B347" s="6" t="s">
        <v>172</v>
      </c>
      <c r="C347" s="6" t="s">
        <v>173</v>
      </c>
      <c r="D347" s="23">
        <v>6136</v>
      </c>
    </row>
    <row r="348" spans="1:4" x14ac:dyDescent="0.25">
      <c r="A348" s="7" t="s">
        <v>200</v>
      </c>
      <c r="B348" s="6" t="s">
        <v>174</v>
      </c>
      <c r="C348" s="6" t="s">
        <v>159</v>
      </c>
      <c r="D348" s="23">
        <v>5538</v>
      </c>
    </row>
    <row r="349" spans="1:4" x14ac:dyDescent="0.25">
      <c r="A349" s="7" t="s">
        <v>200</v>
      </c>
      <c r="B349" s="6" t="s">
        <v>194</v>
      </c>
      <c r="C349" s="6" t="s">
        <v>173</v>
      </c>
      <c r="D349" s="23">
        <v>37536</v>
      </c>
    </row>
    <row r="350" spans="1:4" x14ac:dyDescent="0.25">
      <c r="A350" s="7" t="s">
        <v>200</v>
      </c>
      <c r="B350" s="6" t="s">
        <v>195</v>
      </c>
      <c r="C350" s="6" t="s">
        <v>162</v>
      </c>
      <c r="D350" s="23">
        <v>3388.0000000000005</v>
      </c>
    </row>
    <row r="351" spans="1:4" x14ac:dyDescent="0.25">
      <c r="A351" s="7" t="s">
        <v>200</v>
      </c>
      <c r="B351" s="6" t="s">
        <v>183</v>
      </c>
      <c r="C351" s="6" t="s">
        <v>167</v>
      </c>
      <c r="D351" s="23">
        <v>38552</v>
      </c>
    </row>
    <row r="352" spans="1:4" x14ac:dyDescent="0.25">
      <c r="A352" s="7" t="s">
        <v>200</v>
      </c>
      <c r="B352" s="6" t="s">
        <v>177</v>
      </c>
      <c r="C352" s="6" t="s">
        <v>173</v>
      </c>
      <c r="D352" s="23">
        <v>14873</v>
      </c>
    </row>
    <row r="353" spans="1:4" x14ac:dyDescent="0.25">
      <c r="A353" s="7" t="s">
        <v>200</v>
      </c>
      <c r="B353" s="6" t="s">
        <v>178</v>
      </c>
      <c r="C353" s="6" t="s">
        <v>173</v>
      </c>
      <c r="D353" s="23">
        <v>5232</v>
      </c>
    </row>
    <row r="354" spans="1:4" x14ac:dyDescent="0.25">
      <c r="A354" s="7" t="s">
        <v>200</v>
      </c>
      <c r="B354" s="6" t="s">
        <v>179</v>
      </c>
      <c r="C354" s="6" t="s">
        <v>164</v>
      </c>
      <c r="D354" s="23">
        <v>5712</v>
      </c>
    </row>
    <row r="355" spans="1:4" x14ac:dyDescent="0.25">
      <c r="A355" s="7" t="s">
        <v>200</v>
      </c>
      <c r="B355" s="6" t="s">
        <v>180</v>
      </c>
      <c r="C355" s="6" t="s">
        <v>167</v>
      </c>
      <c r="D355" s="23">
        <v>6480</v>
      </c>
    </row>
    <row r="356" spans="1:4" x14ac:dyDescent="0.25">
      <c r="A356" s="7" t="s">
        <v>200</v>
      </c>
      <c r="B356" s="6" t="s">
        <v>158</v>
      </c>
      <c r="C356" s="6" t="s">
        <v>159</v>
      </c>
      <c r="D356" s="23">
        <v>26918</v>
      </c>
    </row>
    <row r="357" spans="1:4" x14ac:dyDescent="0.25">
      <c r="A357" s="7" t="s">
        <v>200</v>
      </c>
      <c r="B357" s="6" t="s">
        <v>160</v>
      </c>
      <c r="C357" s="6" t="s">
        <v>159</v>
      </c>
      <c r="D357" s="23">
        <v>7684</v>
      </c>
    </row>
    <row r="358" spans="1:4" x14ac:dyDescent="0.25">
      <c r="A358" s="7" t="s">
        <v>200</v>
      </c>
      <c r="B358" s="6" t="s">
        <v>192</v>
      </c>
      <c r="C358" s="6" t="s">
        <v>173</v>
      </c>
      <c r="D358" s="23">
        <v>64410</v>
      </c>
    </row>
    <row r="359" spans="1:4" x14ac:dyDescent="0.25">
      <c r="A359" s="7" t="s">
        <v>200</v>
      </c>
      <c r="B359" s="6" t="s">
        <v>165</v>
      </c>
      <c r="C359" s="6" t="s">
        <v>162</v>
      </c>
      <c r="D359" s="23">
        <v>9494</v>
      </c>
    </row>
    <row r="360" spans="1:4" x14ac:dyDescent="0.25">
      <c r="A360" s="7" t="s">
        <v>200</v>
      </c>
      <c r="B360" s="6" t="s">
        <v>166</v>
      </c>
      <c r="C360" s="6" t="s">
        <v>167</v>
      </c>
      <c r="D360" s="23">
        <v>18500</v>
      </c>
    </row>
    <row r="361" spans="1:4" x14ac:dyDescent="0.25">
      <c r="A361" s="7" t="s">
        <v>200</v>
      </c>
      <c r="B361" s="6" t="s">
        <v>168</v>
      </c>
      <c r="C361" s="6" t="s">
        <v>164</v>
      </c>
      <c r="D361" s="23">
        <v>6748</v>
      </c>
    </row>
    <row r="362" spans="1:4" x14ac:dyDescent="0.25">
      <c r="A362" s="7" t="s">
        <v>200</v>
      </c>
      <c r="B362" s="6" t="s">
        <v>169</v>
      </c>
      <c r="C362" s="6" t="s">
        <v>159</v>
      </c>
      <c r="D362" s="23">
        <v>11703.999999999998</v>
      </c>
    </row>
    <row r="363" spans="1:4" x14ac:dyDescent="0.25">
      <c r="A363" s="7" t="s">
        <v>200</v>
      </c>
      <c r="B363" s="6" t="s">
        <v>170</v>
      </c>
      <c r="C363" s="6" t="s">
        <v>159</v>
      </c>
      <c r="D363" s="23">
        <v>38682</v>
      </c>
    </row>
    <row r="364" spans="1:4" x14ac:dyDescent="0.25">
      <c r="A364" s="7" t="s">
        <v>200</v>
      </c>
      <c r="B364" s="6" t="s">
        <v>193</v>
      </c>
      <c r="C364" s="6" t="s">
        <v>173</v>
      </c>
      <c r="D364" s="23">
        <v>2688</v>
      </c>
    </row>
    <row r="365" spans="1:4" x14ac:dyDescent="0.25">
      <c r="A365" s="7" t="s">
        <v>200</v>
      </c>
      <c r="B365" s="6" t="s">
        <v>196</v>
      </c>
      <c r="C365" s="6" t="s">
        <v>167</v>
      </c>
      <c r="D365" s="23">
        <v>4510</v>
      </c>
    </row>
    <row r="366" spans="1:4" x14ac:dyDescent="0.25">
      <c r="A366" s="7" t="s">
        <v>200</v>
      </c>
      <c r="B366" s="6" t="s">
        <v>191</v>
      </c>
      <c r="C366" s="6" t="s">
        <v>162</v>
      </c>
      <c r="D366" s="23">
        <v>2698</v>
      </c>
    </row>
    <row r="367" spans="1:4" x14ac:dyDescent="0.25">
      <c r="A367" s="7" t="s">
        <v>200</v>
      </c>
      <c r="B367" s="6" t="s">
        <v>171</v>
      </c>
      <c r="C367" s="6" t="s">
        <v>164</v>
      </c>
      <c r="D367" s="23">
        <v>33696</v>
      </c>
    </row>
    <row r="368" spans="1:4" x14ac:dyDescent="0.25">
      <c r="A368" s="7" t="s">
        <v>200</v>
      </c>
      <c r="B368" s="6" t="s">
        <v>184</v>
      </c>
      <c r="C368" s="6" t="s">
        <v>159</v>
      </c>
      <c r="D368" s="23">
        <v>4368</v>
      </c>
    </row>
    <row r="369" spans="1:4" x14ac:dyDescent="0.25">
      <c r="A369" s="7" t="s">
        <v>200</v>
      </c>
      <c r="B369" s="6" t="s">
        <v>189</v>
      </c>
      <c r="C369" s="6" t="s">
        <v>164</v>
      </c>
      <c r="D369" s="23">
        <v>4158</v>
      </c>
    </row>
    <row r="370" spans="1:4" x14ac:dyDescent="0.25">
      <c r="A370" s="7" t="s">
        <v>200</v>
      </c>
      <c r="B370" s="6" t="s">
        <v>172</v>
      </c>
      <c r="C370" s="6" t="s">
        <v>173</v>
      </c>
      <c r="D370" s="23">
        <v>18172</v>
      </c>
    </row>
    <row r="371" spans="1:4" x14ac:dyDescent="0.25">
      <c r="A371" s="7" t="s">
        <v>200</v>
      </c>
      <c r="B371" s="6" t="s">
        <v>174</v>
      </c>
      <c r="C371" s="6" t="s">
        <v>159</v>
      </c>
      <c r="D371" s="23">
        <v>35784</v>
      </c>
    </row>
    <row r="372" spans="1:4" x14ac:dyDescent="0.25">
      <c r="A372" s="7" t="s">
        <v>200</v>
      </c>
      <c r="B372" s="6" t="s">
        <v>194</v>
      </c>
      <c r="C372" s="6" t="s">
        <v>173</v>
      </c>
      <c r="D372" s="23">
        <v>24276</v>
      </c>
    </row>
    <row r="373" spans="1:4" x14ac:dyDescent="0.25">
      <c r="A373" s="7" t="s">
        <v>200</v>
      </c>
      <c r="B373" s="6" t="s">
        <v>175</v>
      </c>
      <c r="C373" s="6" t="s">
        <v>167</v>
      </c>
      <c r="D373" s="23">
        <v>2310</v>
      </c>
    </row>
    <row r="374" spans="1:4" x14ac:dyDescent="0.25">
      <c r="A374" s="7" t="s">
        <v>200</v>
      </c>
      <c r="B374" s="6" t="s">
        <v>195</v>
      </c>
      <c r="C374" s="6" t="s">
        <v>162</v>
      </c>
      <c r="D374" s="23">
        <v>1210</v>
      </c>
    </row>
    <row r="375" spans="1:4" x14ac:dyDescent="0.25">
      <c r="A375" s="7" t="s">
        <v>200</v>
      </c>
      <c r="B375" s="6" t="s">
        <v>183</v>
      </c>
      <c r="C375" s="6" t="s">
        <v>167</v>
      </c>
      <c r="D375" s="23">
        <v>27808</v>
      </c>
    </row>
    <row r="376" spans="1:4" x14ac:dyDescent="0.25">
      <c r="A376" s="7" t="s">
        <v>200</v>
      </c>
      <c r="B376" s="6" t="s">
        <v>177</v>
      </c>
      <c r="C376" s="6" t="s">
        <v>173</v>
      </c>
      <c r="D376" s="23">
        <v>30816</v>
      </c>
    </row>
    <row r="377" spans="1:4" x14ac:dyDescent="0.25">
      <c r="A377" s="7" t="s">
        <v>200</v>
      </c>
      <c r="B377" s="6" t="s">
        <v>188</v>
      </c>
      <c r="C377" s="6" t="s">
        <v>173</v>
      </c>
      <c r="D377" s="23">
        <v>15128</v>
      </c>
    </row>
    <row r="378" spans="1:4" x14ac:dyDescent="0.25">
      <c r="A378" s="7" t="s">
        <v>200</v>
      </c>
      <c r="B378" s="6" t="s">
        <v>178</v>
      </c>
      <c r="C378" s="6" t="s">
        <v>173</v>
      </c>
      <c r="D378" s="23">
        <v>5777</v>
      </c>
    </row>
    <row r="379" spans="1:4" x14ac:dyDescent="0.25">
      <c r="A379" s="7" t="s">
        <v>200</v>
      </c>
      <c r="B379" s="6" t="s">
        <v>190</v>
      </c>
      <c r="C379" s="6" t="s">
        <v>162</v>
      </c>
      <c r="D379" s="23">
        <v>147</v>
      </c>
    </row>
    <row r="380" spans="1:4" x14ac:dyDescent="0.25">
      <c r="A380" s="7" t="s">
        <v>200</v>
      </c>
      <c r="B380" s="6" t="s">
        <v>179</v>
      </c>
      <c r="C380" s="6" t="s">
        <v>164</v>
      </c>
      <c r="D380" s="23">
        <v>18258</v>
      </c>
    </row>
    <row r="381" spans="1:4" x14ac:dyDescent="0.25">
      <c r="A381" s="7" t="s">
        <v>200</v>
      </c>
      <c r="B381" s="6" t="s">
        <v>180</v>
      </c>
      <c r="C381" s="6" t="s">
        <v>167</v>
      </c>
      <c r="D381" s="23">
        <v>29880.000000000004</v>
      </c>
    </row>
    <row r="382" spans="1:4" x14ac:dyDescent="0.25">
      <c r="A382" s="7" t="s">
        <v>200</v>
      </c>
      <c r="B382" s="6" t="s">
        <v>186</v>
      </c>
      <c r="C382" s="6" t="s">
        <v>167</v>
      </c>
      <c r="D382" s="23">
        <v>3496</v>
      </c>
    </row>
    <row r="383" spans="1:4" x14ac:dyDescent="0.25">
      <c r="A383" s="7" t="s">
        <v>200</v>
      </c>
      <c r="B383" s="6" t="s">
        <v>181</v>
      </c>
      <c r="C383" s="6" t="s">
        <v>159</v>
      </c>
      <c r="D383" s="23">
        <v>6188</v>
      </c>
    </row>
    <row r="384" spans="1:4" x14ac:dyDescent="0.25">
      <c r="A384" s="7" t="s">
        <v>200</v>
      </c>
      <c r="B384" s="6" t="s">
        <v>182</v>
      </c>
      <c r="C384" s="6" t="s">
        <v>162</v>
      </c>
      <c r="D384" s="23">
        <v>13340</v>
      </c>
    </row>
    <row r="385" spans="1:4" x14ac:dyDescent="0.25">
      <c r="A385" s="7" t="s">
        <v>201</v>
      </c>
      <c r="B385" s="6" t="s">
        <v>158</v>
      </c>
      <c r="C385" s="6" t="s">
        <v>159</v>
      </c>
      <c r="D385" s="23">
        <v>9703</v>
      </c>
    </row>
    <row r="386" spans="1:4" x14ac:dyDescent="0.25">
      <c r="A386" s="7" t="s">
        <v>201</v>
      </c>
      <c r="B386" s="6" t="s">
        <v>160</v>
      </c>
      <c r="C386" s="6" t="s">
        <v>159</v>
      </c>
      <c r="D386" s="23">
        <v>1700</v>
      </c>
    </row>
    <row r="387" spans="1:4" x14ac:dyDescent="0.25">
      <c r="A387" s="7" t="s">
        <v>201</v>
      </c>
      <c r="B387" s="6" t="s">
        <v>192</v>
      </c>
      <c r="C387" s="6" t="s">
        <v>173</v>
      </c>
      <c r="D387" s="23">
        <v>54240</v>
      </c>
    </row>
    <row r="388" spans="1:4" x14ac:dyDescent="0.25">
      <c r="A388" s="7" t="s">
        <v>201</v>
      </c>
      <c r="B388" s="6" t="s">
        <v>163</v>
      </c>
      <c r="C388" s="6" t="s">
        <v>164</v>
      </c>
      <c r="D388" s="23">
        <v>1623.9999999999998</v>
      </c>
    </row>
    <row r="389" spans="1:4" x14ac:dyDescent="0.25">
      <c r="A389" s="7" t="s">
        <v>201</v>
      </c>
      <c r="B389" s="6" t="s">
        <v>165</v>
      </c>
      <c r="C389" s="6" t="s">
        <v>162</v>
      </c>
      <c r="D389" s="23">
        <v>4343</v>
      </c>
    </row>
    <row r="390" spans="1:4" x14ac:dyDescent="0.25">
      <c r="A390" s="7" t="s">
        <v>201</v>
      </c>
      <c r="B390" s="6" t="s">
        <v>166</v>
      </c>
      <c r="C390" s="6" t="s">
        <v>167</v>
      </c>
      <c r="D390" s="23">
        <v>1036</v>
      </c>
    </row>
    <row r="391" spans="1:4" x14ac:dyDescent="0.25">
      <c r="A391" s="7" t="s">
        <v>201</v>
      </c>
      <c r="B391" s="6" t="s">
        <v>168</v>
      </c>
      <c r="C391" s="6" t="s">
        <v>164</v>
      </c>
      <c r="D391" s="23">
        <v>71336</v>
      </c>
    </row>
    <row r="392" spans="1:4" x14ac:dyDescent="0.25">
      <c r="A392" s="7" t="s">
        <v>201</v>
      </c>
      <c r="B392" s="6" t="s">
        <v>169</v>
      </c>
      <c r="C392" s="6" t="s">
        <v>159</v>
      </c>
      <c r="D392" s="23">
        <v>7048.9999999999991</v>
      </c>
    </row>
    <row r="393" spans="1:4" x14ac:dyDescent="0.25">
      <c r="A393" s="7" t="s">
        <v>201</v>
      </c>
      <c r="B393" s="6" t="s">
        <v>170</v>
      </c>
      <c r="C393" s="6" t="s">
        <v>159</v>
      </c>
      <c r="D393" s="23">
        <v>1842</v>
      </c>
    </row>
    <row r="394" spans="1:4" x14ac:dyDescent="0.25">
      <c r="A394" s="7" t="s">
        <v>201</v>
      </c>
      <c r="B394" s="6" t="s">
        <v>193</v>
      </c>
      <c r="C394" s="6" t="s">
        <v>173</v>
      </c>
      <c r="D394" s="23">
        <v>384</v>
      </c>
    </row>
    <row r="395" spans="1:4" x14ac:dyDescent="0.25">
      <c r="A395" s="7" t="s">
        <v>201</v>
      </c>
      <c r="B395" s="6" t="s">
        <v>196</v>
      </c>
      <c r="C395" s="6" t="s">
        <v>167</v>
      </c>
      <c r="D395" s="23">
        <v>656</v>
      </c>
    </row>
    <row r="396" spans="1:4" x14ac:dyDescent="0.25">
      <c r="A396" s="7" t="s">
        <v>201</v>
      </c>
      <c r="B396" s="6" t="s">
        <v>191</v>
      </c>
      <c r="C396" s="6" t="s">
        <v>162</v>
      </c>
      <c r="D396" s="23">
        <v>781</v>
      </c>
    </row>
    <row r="397" spans="1:4" x14ac:dyDescent="0.25">
      <c r="A397" s="7" t="s">
        <v>201</v>
      </c>
      <c r="B397" s="6" t="s">
        <v>171</v>
      </c>
      <c r="C397" s="6" t="s">
        <v>164</v>
      </c>
      <c r="D397" s="23">
        <v>9828</v>
      </c>
    </row>
    <row r="398" spans="1:4" x14ac:dyDescent="0.25">
      <c r="A398" s="7" t="s">
        <v>201</v>
      </c>
      <c r="B398" s="6" t="s">
        <v>172</v>
      </c>
      <c r="C398" s="6" t="s">
        <v>173</v>
      </c>
      <c r="D398" s="23">
        <v>7080</v>
      </c>
    </row>
    <row r="399" spans="1:4" x14ac:dyDescent="0.25">
      <c r="A399" s="7" t="s">
        <v>201</v>
      </c>
      <c r="B399" s="6" t="s">
        <v>174</v>
      </c>
      <c r="C399" s="6" t="s">
        <v>159</v>
      </c>
      <c r="D399" s="23">
        <v>15123</v>
      </c>
    </row>
    <row r="400" spans="1:4" x14ac:dyDescent="0.25">
      <c r="A400" s="7" t="s">
        <v>201</v>
      </c>
      <c r="B400" s="6" t="s">
        <v>194</v>
      </c>
      <c r="C400" s="6" t="s">
        <v>173</v>
      </c>
      <c r="D400" s="23">
        <v>32232</v>
      </c>
    </row>
    <row r="401" spans="1:4" x14ac:dyDescent="0.25">
      <c r="A401" s="7" t="s">
        <v>201</v>
      </c>
      <c r="B401" s="6" t="s">
        <v>187</v>
      </c>
      <c r="C401" s="6" t="s">
        <v>167</v>
      </c>
      <c r="D401" s="23">
        <v>809.99999999999989</v>
      </c>
    </row>
    <row r="402" spans="1:4" x14ac:dyDescent="0.25">
      <c r="A402" s="7" t="s">
        <v>201</v>
      </c>
      <c r="B402" s="6" t="s">
        <v>175</v>
      </c>
      <c r="C402" s="6" t="s">
        <v>167</v>
      </c>
      <c r="D402" s="23">
        <v>5040</v>
      </c>
    </row>
    <row r="403" spans="1:4" x14ac:dyDescent="0.25">
      <c r="A403" s="7" t="s">
        <v>201</v>
      </c>
      <c r="B403" s="6" t="s">
        <v>176</v>
      </c>
      <c r="C403" s="6" t="s">
        <v>164</v>
      </c>
      <c r="D403" s="23">
        <v>2856</v>
      </c>
    </row>
    <row r="404" spans="1:4" x14ac:dyDescent="0.25">
      <c r="A404" s="7" t="s">
        <v>201</v>
      </c>
      <c r="B404" s="6" t="s">
        <v>195</v>
      </c>
      <c r="C404" s="6" t="s">
        <v>162</v>
      </c>
      <c r="D404" s="23">
        <v>1694.0000000000002</v>
      </c>
    </row>
    <row r="405" spans="1:4" x14ac:dyDescent="0.25">
      <c r="A405" s="7" t="s">
        <v>201</v>
      </c>
      <c r="B405" s="6" t="s">
        <v>183</v>
      </c>
      <c r="C405" s="6" t="s">
        <v>167</v>
      </c>
      <c r="D405" s="23">
        <v>2212</v>
      </c>
    </row>
    <row r="406" spans="1:4" x14ac:dyDescent="0.25">
      <c r="A406" s="7" t="s">
        <v>201</v>
      </c>
      <c r="B406" s="6" t="s">
        <v>177</v>
      </c>
      <c r="C406" s="6" t="s">
        <v>173</v>
      </c>
      <c r="D406" s="23">
        <v>17441</v>
      </c>
    </row>
    <row r="407" spans="1:4" x14ac:dyDescent="0.25">
      <c r="A407" s="7" t="s">
        <v>201</v>
      </c>
      <c r="B407" s="6" t="s">
        <v>178</v>
      </c>
      <c r="C407" s="6" t="s">
        <v>173</v>
      </c>
      <c r="D407" s="23">
        <v>1853</v>
      </c>
    </row>
    <row r="408" spans="1:4" x14ac:dyDescent="0.25">
      <c r="A408" s="7" t="s">
        <v>201</v>
      </c>
      <c r="B408" s="6" t="s">
        <v>179</v>
      </c>
      <c r="C408" s="6" t="s">
        <v>164</v>
      </c>
      <c r="D408" s="23">
        <v>4488</v>
      </c>
    </row>
    <row r="409" spans="1:4" x14ac:dyDescent="0.25">
      <c r="A409" s="7" t="s">
        <v>201</v>
      </c>
      <c r="B409" s="6" t="s">
        <v>180</v>
      </c>
      <c r="C409" s="6" t="s">
        <v>167</v>
      </c>
      <c r="D409" s="23">
        <v>17100</v>
      </c>
    </row>
    <row r="410" spans="1:4" x14ac:dyDescent="0.25">
      <c r="A410" s="7" t="s">
        <v>201</v>
      </c>
      <c r="B410" s="6" t="s">
        <v>186</v>
      </c>
      <c r="C410" s="6" t="s">
        <v>167</v>
      </c>
      <c r="D410" s="23">
        <v>7429</v>
      </c>
    </row>
    <row r="411" spans="1:4" x14ac:dyDescent="0.25">
      <c r="A411" s="7" t="s">
        <v>201</v>
      </c>
      <c r="B411" s="6" t="s">
        <v>181</v>
      </c>
      <c r="C411" s="6" t="s">
        <v>159</v>
      </c>
      <c r="D411" s="23">
        <v>1904</v>
      </c>
    </row>
    <row r="412" spans="1:4" x14ac:dyDescent="0.25">
      <c r="A412" s="7" t="s">
        <v>201</v>
      </c>
      <c r="B412" s="6" t="s">
        <v>185</v>
      </c>
      <c r="C412" s="6" t="s">
        <v>164</v>
      </c>
      <c r="D412" s="23">
        <v>2158</v>
      </c>
    </row>
    <row r="413" spans="1:4" x14ac:dyDescent="0.25">
      <c r="A413" s="7" t="s">
        <v>201</v>
      </c>
      <c r="B413" s="6" t="s">
        <v>158</v>
      </c>
      <c r="C413" s="6" t="s">
        <v>159</v>
      </c>
      <c r="D413" s="23">
        <v>19406</v>
      </c>
    </row>
    <row r="414" spans="1:4" x14ac:dyDescent="0.25">
      <c r="A414" s="7" t="s">
        <v>201</v>
      </c>
      <c r="B414" s="6" t="s">
        <v>160</v>
      </c>
      <c r="C414" s="6" t="s">
        <v>159</v>
      </c>
      <c r="D414" s="23">
        <v>1156</v>
      </c>
    </row>
    <row r="415" spans="1:4" x14ac:dyDescent="0.25">
      <c r="A415" s="7" t="s">
        <v>201</v>
      </c>
      <c r="B415" s="6" t="s">
        <v>192</v>
      </c>
      <c r="C415" s="6" t="s">
        <v>173</v>
      </c>
      <c r="D415" s="23">
        <v>22035</v>
      </c>
    </row>
    <row r="416" spans="1:4" x14ac:dyDescent="0.25">
      <c r="A416" s="7" t="s">
        <v>201</v>
      </c>
      <c r="B416" s="6" t="s">
        <v>165</v>
      </c>
      <c r="C416" s="6" t="s">
        <v>162</v>
      </c>
      <c r="D416" s="23">
        <v>5555</v>
      </c>
    </row>
    <row r="417" spans="1:4" x14ac:dyDescent="0.25">
      <c r="A417" s="7" t="s">
        <v>201</v>
      </c>
      <c r="B417" s="6" t="s">
        <v>168</v>
      </c>
      <c r="C417" s="6" t="s">
        <v>164</v>
      </c>
      <c r="D417" s="23">
        <v>103148</v>
      </c>
    </row>
    <row r="418" spans="1:4" x14ac:dyDescent="0.25">
      <c r="A418" s="7" t="s">
        <v>201</v>
      </c>
      <c r="B418" s="6" t="s">
        <v>169</v>
      </c>
      <c r="C418" s="6" t="s">
        <v>159</v>
      </c>
      <c r="D418" s="23">
        <v>11172</v>
      </c>
    </row>
    <row r="419" spans="1:4" x14ac:dyDescent="0.25">
      <c r="A419" s="7" t="s">
        <v>201</v>
      </c>
      <c r="B419" s="6" t="s">
        <v>170</v>
      </c>
      <c r="C419" s="6" t="s">
        <v>159</v>
      </c>
      <c r="D419" s="23">
        <v>8903</v>
      </c>
    </row>
    <row r="420" spans="1:4" x14ac:dyDescent="0.25">
      <c r="A420" s="7" t="s">
        <v>201</v>
      </c>
      <c r="B420" s="6" t="s">
        <v>193</v>
      </c>
      <c r="C420" s="6" t="s">
        <v>173</v>
      </c>
      <c r="D420" s="23">
        <v>320</v>
      </c>
    </row>
    <row r="421" spans="1:4" x14ac:dyDescent="0.25">
      <c r="A421" s="7" t="s">
        <v>201</v>
      </c>
      <c r="B421" s="6" t="s">
        <v>191</v>
      </c>
      <c r="C421" s="6" t="s">
        <v>162</v>
      </c>
      <c r="D421" s="23">
        <v>3479</v>
      </c>
    </row>
    <row r="422" spans="1:4" x14ac:dyDescent="0.25">
      <c r="A422" s="7" t="s">
        <v>201</v>
      </c>
      <c r="B422" s="6" t="s">
        <v>171</v>
      </c>
      <c r="C422" s="6" t="s">
        <v>164</v>
      </c>
      <c r="D422" s="23">
        <v>5616</v>
      </c>
    </row>
    <row r="423" spans="1:4" x14ac:dyDescent="0.25">
      <c r="A423" s="7" t="s">
        <v>201</v>
      </c>
      <c r="B423" s="6" t="s">
        <v>184</v>
      </c>
      <c r="C423" s="6" t="s">
        <v>159</v>
      </c>
      <c r="D423" s="23">
        <v>1287.9999999999998</v>
      </c>
    </row>
    <row r="424" spans="1:4" x14ac:dyDescent="0.25">
      <c r="A424" s="7" t="s">
        <v>201</v>
      </c>
      <c r="B424" s="6" t="s">
        <v>189</v>
      </c>
      <c r="C424" s="6" t="s">
        <v>164</v>
      </c>
      <c r="D424" s="23">
        <v>2541</v>
      </c>
    </row>
    <row r="425" spans="1:4" x14ac:dyDescent="0.25">
      <c r="A425" s="7" t="s">
        <v>201</v>
      </c>
      <c r="B425" s="6" t="s">
        <v>172</v>
      </c>
      <c r="C425" s="6" t="s">
        <v>173</v>
      </c>
      <c r="D425" s="23">
        <v>2360</v>
      </c>
    </row>
    <row r="426" spans="1:4" x14ac:dyDescent="0.25">
      <c r="A426" s="7" t="s">
        <v>201</v>
      </c>
      <c r="B426" s="6" t="s">
        <v>174</v>
      </c>
      <c r="C426" s="6" t="s">
        <v>159</v>
      </c>
      <c r="D426" s="23">
        <v>3621</v>
      </c>
    </row>
    <row r="427" spans="1:4" x14ac:dyDescent="0.25">
      <c r="A427" s="7" t="s">
        <v>201</v>
      </c>
      <c r="B427" s="6" t="s">
        <v>194</v>
      </c>
      <c r="C427" s="6" t="s">
        <v>173</v>
      </c>
      <c r="D427" s="23">
        <v>22440</v>
      </c>
    </row>
    <row r="428" spans="1:4" x14ac:dyDescent="0.25">
      <c r="A428" s="7" t="s">
        <v>201</v>
      </c>
      <c r="B428" s="6" t="s">
        <v>175</v>
      </c>
      <c r="C428" s="6" t="s">
        <v>167</v>
      </c>
      <c r="D428" s="23">
        <v>12600</v>
      </c>
    </row>
    <row r="429" spans="1:4" x14ac:dyDescent="0.25">
      <c r="A429" s="7" t="s">
        <v>201</v>
      </c>
      <c r="B429" s="6" t="s">
        <v>195</v>
      </c>
      <c r="C429" s="6" t="s">
        <v>162</v>
      </c>
      <c r="D429" s="23">
        <v>4477</v>
      </c>
    </row>
    <row r="430" spans="1:4" x14ac:dyDescent="0.25">
      <c r="A430" s="7" t="s">
        <v>201</v>
      </c>
      <c r="B430" s="6" t="s">
        <v>183</v>
      </c>
      <c r="C430" s="6" t="s">
        <v>167</v>
      </c>
      <c r="D430" s="23">
        <v>5056</v>
      </c>
    </row>
    <row r="431" spans="1:4" x14ac:dyDescent="0.25">
      <c r="A431" s="7" t="s">
        <v>201</v>
      </c>
      <c r="B431" s="6" t="s">
        <v>177</v>
      </c>
      <c r="C431" s="6" t="s">
        <v>173</v>
      </c>
      <c r="D431" s="23">
        <v>6313</v>
      </c>
    </row>
    <row r="432" spans="1:4" x14ac:dyDescent="0.25">
      <c r="A432" s="7" t="s">
        <v>201</v>
      </c>
      <c r="B432" s="6" t="s">
        <v>178</v>
      </c>
      <c r="C432" s="6" t="s">
        <v>173</v>
      </c>
      <c r="D432" s="23">
        <v>2180</v>
      </c>
    </row>
    <row r="433" spans="1:4" x14ac:dyDescent="0.25">
      <c r="A433" s="7" t="s">
        <v>201</v>
      </c>
      <c r="B433" s="6" t="s">
        <v>179</v>
      </c>
      <c r="C433" s="6" t="s">
        <v>164</v>
      </c>
      <c r="D433" s="23">
        <v>5100</v>
      </c>
    </row>
    <row r="434" spans="1:4" x14ac:dyDescent="0.25">
      <c r="A434" s="7" t="s">
        <v>201</v>
      </c>
      <c r="B434" s="6" t="s">
        <v>158</v>
      </c>
      <c r="C434" s="6" t="s">
        <v>159</v>
      </c>
      <c r="D434" s="23">
        <v>53210</v>
      </c>
    </row>
    <row r="435" spans="1:4" x14ac:dyDescent="0.25">
      <c r="A435" s="7" t="s">
        <v>201</v>
      </c>
      <c r="B435" s="6" t="s">
        <v>160</v>
      </c>
      <c r="C435" s="6" t="s">
        <v>159</v>
      </c>
      <c r="D435" s="23">
        <v>5576</v>
      </c>
    </row>
    <row r="436" spans="1:4" x14ac:dyDescent="0.25">
      <c r="A436" s="7" t="s">
        <v>201</v>
      </c>
      <c r="B436" s="6" t="s">
        <v>192</v>
      </c>
      <c r="C436" s="6" t="s">
        <v>173</v>
      </c>
      <c r="D436" s="23">
        <v>76953</v>
      </c>
    </row>
    <row r="437" spans="1:4" x14ac:dyDescent="0.25">
      <c r="A437" s="7" t="s">
        <v>201</v>
      </c>
      <c r="B437" s="6" t="s">
        <v>165</v>
      </c>
      <c r="C437" s="6" t="s">
        <v>162</v>
      </c>
      <c r="D437" s="23">
        <v>14645</v>
      </c>
    </row>
    <row r="438" spans="1:4" x14ac:dyDescent="0.25">
      <c r="A438" s="7" t="s">
        <v>201</v>
      </c>
      <c r="B438" s="6" t="s">
        <v>166</v>
      </c>
      <c r="C438" s="6" t="s">
        <v>167</v>
      </c>
      <c r="D438" s="23">
        <v>6216</v>
      </c>
    </row>
    <row r="439" spans="1:4" x14ac:dyDescent="0.25">
      <c r="A439" s="7" t="s">
        <v>201</v>
      </c>
      <c r="B439" s="6" t="s">
        <v>168</v>
      </c>
      <c r="C439" s="6" t="s">
        <v>164</v>
      </c>
      <c r="D439" s="23">
        <v>25064</v>
      </c>
    </row>
    <row r="440" spans="1:4" x14ac:dyDescent="0.25">
      <c r="A440" s="7" t="s">
        <v>201</v>
      </c>
      <c r="B440" s="6" t="s">
        <v>169</v>
      </c>
      <c r="C440" s="6" t="s">
        <v>159</v>
      </c>
      <c r="D440" s="23">
        <v>21812</v>
      </c>
    </row>
    <row r="441" spans="1:4" x14ac:dyDescent="0.25">
      <c r="A441" s="7" t="s">
        <v>201</v>
      </c>
      <c r="B441" s="6" t="s">
        <v>170</v>
      </c>
      <c r="C441" s="6" t="s">
        <v>159</v>
      </c>
      <c r="D441" s="23">
        <v>33156</v>
      </c>
    </row>
    <row r="442" spans="1:4" x14ac:dyDescent="0.25">
      <c r="A442" s="7" t="s">
        <v>201</v>
      </c>
      <c r="B442" s="6" t="s">
        <v>193</v>
      </c>
      <c r="C442" s="6" t="s">
        <v>173</v>
      </c>
      <c r="D442" s="23">
        <v>1152</v>
      </c>
    </row>
    <row r="443" spans="1:4" x14ac:dyDescent="0.25">
      <c r="A443" s="7" t="s">
        <v>201</v>
      </c>
      <c r="B443" s="6" t="s">
        <v>196</v>
      </c>
      <c r="C443" s="6" t="s">
        <v>167</v>
      </c>
      <c r="D443" s="23">
        <v>1968</v>
      </c>
    </row>
    <row r="444" spans="1:4" x14ac:dyDescent="0.25">
      <c r="A444" s="7" t="s">
        <v>201</v>
      </c>
      <c r="B444" s="6" t="s">
        <v>191</v>
      </c>
      <c r="C444" s="6" t="s">
        <v>162</v>
      </c>
      <c r="D444" s="23">
        <v>2698</v>
      </c>
    </row>
    <row r="445" spans="1:4" x14ac:dyDescent="0.25">
      <c r="A445" s="7" t="s">
        <v>201</v>
      </c>
      <c r="B445" s="6" t="s">
        <v>171</v>
      </c>
      <c r="C445" s="6" t="s">
        <v>164</v>
      </c>
      <c r="D445" s="23">
        <v>5616</v>
      </c>
    </row>
    <row r="446" spans="1:4" x14ac:dyDescent="0.25">
      <c r="A446" s="7" t="s">
        <v>201</v>
      </c>
      <c r="B446" s="6" t="s">
        <v>184</v>
      </c>
      <c r="C446" s="6" t="s">
        <v>159</v>
      </c>
      <c r="D446" s="23">
        <v>671.99999999999989</v>
      </c>
    </row>
    <row r="447" spans="1:4" x14ac:dyDescent="0.25">
      <c r="A447" s="7" t="s">
        <v>201</v>
      </c>
      <c r="B447" s="6" t="s">
        <v>189</v>
      </c>
      <c r="C447" s="6" t="s">
        <v>164</v>
      </c>
      <c r="D447" s="23">
        <v>6699</v>
      </c>
    </row>
    <row r="448" spans="1:4" x14ac:dyDescent="0.25">
      <c r="A448" s="7" t="s">
        <v>201</v>
      </c>
      <c r="B448" s="6" t="s">
        <v>172</v>
      </c>
      <c r="C448" s="6" t="s">
        <v>173</v>
      </c>
      <c r="D448" s="23">
        <v>8968</v>
      </c>
    </row>
    <row r="449" spans="1:4" x14ac:dyDescent="0.25">
      <c r="A449" s="7" t="s">
        <v>201</v>
      </c>
      <c r="B449" s="6" t="s">
        <v>174</v>
      </c>
      <c r="C449" s="6" t="s">
        <v>159</v>
      </c>
      <c r="D449" s="23">
        <v>46221</v>
      </c>
    </row>
    <row r="450" spans="1:4" x14ac:dyDescent="0.25">
      <c r="A450" s="7" t="s">
        <v>201</v>
      </c>
      <c r="B450" s="6" t="s">
        <v>194</v>
      </c>
      <c r="C450" s="6" t="s">
        <v>173</v>
      </c>
      <c r="D450" s="23">
        <v>29580</v>
      </c>
    </row>
    <row r="451" spans="1:4" x14ac:dyDescent="0.25">
      <c r="A451" s="7" t="s">
        <v>201</v>
      </c>
      <c r="B451" s="6" t="s">
        <v>195</v>
      </c>
      <c r="C451" s="6" t="s">
        <v>162</v>
      </c>
      <c r="D451" s="23">
        <v>1331</v>
      </c>
    </row>
    <row r="452" spans="1:4" x14ac:dyDescent="0.25">
      <c r="A452" s="7" t="s">
        <v>201</v>
      </c>
      <c r="B452" s="6" t="s">
        <v>183</v>
      </c>
      <c r="C452" s="6" t="s">
        <v>167</v>
      </c>
      <c r="D452" s="23">
        <v>11692</v>
      </c>
    </row>
    <row r="453" spans="1:4" x14ac:dyDescent="0.25">
      <c r="A453" s="7" t="s">
        <v>201</v>
      </c>
      <c r="B453" s="6" t="s">
        <v>177</v>
      </c>
      <c r="C453" s="6" t="s">
        <v>173</v>
      </c>
      <c r="D453" s="23">
        <v>21079</v>
      </c>
    </row>
    <row r="454" spans="1:4" x14ac:dyDescent="0.25">
      <c r="A454" s="7" t="s">
        <v>201</v>
      </c>
      <c r="B454" s="6" t="s">
        <v>188</v>
      </c>
      <c r="C454" s="6" t="s">
        <v>173</v>
      </c>
      <c r="D454" s="23">
        <v>8680</v>
      </c>
    </row>
    <row r="455" spans="1:4" x14ac:dyDescent="0.25">
      <c r="A455" s="7" t="s">
        <v>201</v>
      </c>
      <c r="B455" s="6" t="s">
        <v>178</v>
      </c>
      <c r="C455" s="6" t="s">
        <v>173</v>
      </c>
      <c r="D455" s="23">
        <v>6540</v>
      </c>
    </row>
    <row r="456" spans="1:4" x14ac:dyDescent="0.25">
      <c r="A456" s="7" t="s">
        <v>201</v>
      </c>
      <c r="B456" s="6" t="s">
        <v>190</v>
      </c>
      <c r="C456" s="6" t="s">
        <v>162</v>
      </c>
      <c r="D456" s="23">
        <v>1134</v>
      </c>
    </row>
    <row r="457" spans="1:4" x14ac:dyDescent="0.25">
      <c r="A457" s="7" t="s">
        <v>201</v>
      </c>
      <c r="B457" s="6" t="s">
        <v>179</v>
      </c>
      <c r="C457" s="6" t="s">
        <v>164</v>
      </c>
      <c r="D457" s="23">
        <v>4080</v>
      </c>
    </row>
    <row r="458" spans="1:4" x14ac:dyDescent="0.25">
      <c r="A458" s="7" t="s">
        <v>201</v>
      </c>
      <c r="B458" s="6" t="s">
        <v>180</v>
      </c>
      <c r="C458" s="6" t="s">
        <v>167</v>
      </c>
      <c r="D458" s="23">
        <v>5760</v>
      </c>
    </row>
    <row r="459" spans="1:4" x14ac:dyDescent="0.25">
      <c r="A459" s="7" t="s">
        <v>201</v>
      </c>
      <c r="B459" s="6" t="s">
        <v>181</v>
      </c>
      <c r="C459" s="6" t="s">
        <v>159</v>
      </c>
      <c r="D459" s="23">
        <v>3094</v>
      </c>
    </row>
    <row r="460" spans="1:4" x14ac:dyDescent="0.25">
      <c r="A460" s="7" t="s">
        <v>201</v>
      </c>
      <c r="B460" s="6" t="s">
        <v>182</v>
      </c>
      <c r="C460" s="6" t="s">
        <v>162</v>
      </c>
      <c r="D460" s="23">
        <v>3680.0000000000005</v>
      </c>
    </row>
    <row r="461" spans="1:4" x14ac:dyDescent="0.25">
      <c r="A461" s="7" t="s">
        <v>202</v>
      </c>
      <c r="B461" s="6" t="s">
        <v>158</v>
      </c>
      <c r="C461" s="6" t="s">
        <v>159</v>
      </c>
      <c r="D461" s="23">
        <v>16902</v>
      </c>
    </row>
    <row r="462" spans="1:4" x14ac:dyDescent="0.25">
      <c r="A462" s="7" t="s">
        <v>202</v>
      </c>
      <c r="B462" s="6" t="s">
        <v>160</v>
      </c>
      <c r="C462" s="6" t="s">
        <v>159</v>
      </c>
      <c r="D462" s="23">
        <v>2380</v>
      </c>
    </row>
    <row r="463" spans="1:4" x14ac:dyDescent="0.25">
      <c r="A463" s="7" t="s">
        <v>202</v>
      </c>
      <c r="B463" s="6" t="s">
        <v>192</v>
      </c>
      <c r="C463" s="6" t="s">
        <v>173</v>
      </c>
      <c r="D463" s="23">
        <v>49155</v>
      </c>
    </row>
    <row r="464" spans="1:4" x14ac:dyDescent="0.25">
      <c r="A464" s="7" t="s">
        <v>202</v>
      </c>
      <c r="B464" s="6" t="s">
        <v>161</v>
      </c>
      <c r="C464" s="6" t="s">
        <v>162</v>
      </c>
      <c r="D464" s="23">
        <v>1452</v>
      </c>
    </row>
    <row r="465" spans="1:4" x14ac:dyDescent="0.25">
      <c r="A465" s="7" t="s">
        <v>202</v>
      </c>
      <c r="B465" s="6" t="s">
        <v>165</v>
      </c>
      <c r="C465" s="6" t="s">
        <v>162</v>
      </c>
      <c r="D465" s="23">
        <v>17776</v>
      </c>
    </row>
    <row r="466" spans="1:4" x14ac:dyDescent="0.25">
      <c r="A466" s="7" t="s">
        <v>202</v>
      </c>
      <c r="B466" s="6" t="s">
        <v>166</v>
      </c>
      <c r="C466" s="6" t="s">
        <v>167</v>
      </c>
      <c r="D466" s="23">
        <v>5328</v>
      </c>
    </row>
    <row r="467" spans="1:4" x14ac:dyDescent="0.25">
      <c r="A467" s="7" t="s">
        <v>202</v>
      </c>
      <c r="B467" s="6" t="s">
        <v>168</v>
      </c>
      <c r="C467" s="6" t="s">
        <v>164</v>
      </c>
      <c r="D467" s="23">
        <v>102184</v>
      </c>
    </row>
    <row r="468" spans="1:4" x14ac:dyDescent="0.25">
      <c r="A468" s="7" t="s">
        <v>202</v>
      </c>
      <c r="B468" s="6" t="s">
        <v>169</v>
      </c>
      <c r="C468" s="6" t="s">
        <v>159</v>
      </c>
      <c r="D468" s="23">
        <v>10640</v>
      </c>
    </row>
    <row r="469" spans="1:4" x14ac:dyDescent="0.25">
      <c r="A469" s="7" t="s">
        <v>202</v>
      </c>
      <c r="B469" s="6" t="s">
        <v>170</v>
      </c>
      <c r="C469" s="6" t="s">
        <v>159</v>
      </c>
      <c r="D469" s="23">
        <v>10438</v>
      </c>
    </row>
    <row r="470" spans="1:4" x14ac:dyDescent="0.25">
      <c r="A470" s="7" t="s">
        <v>202</v>
      </c>
      <c r="B470" s="6" t="s">
        <v>193</v>
      </c>
      <c r="C470" s="6" t="s">
        <v>173</v>
      </c>
      <c r="D470" s="23">
        <v>3072</v>
      </c>
    </row>
    <row r="471" spans="1:4" x14ac:dyDescent="0.25">
      <c r="A471" s="7" t="s">
        <v>202</v>
      </c>
      <c r="B471" s="6" t="s">
        <v>196</v>
      </c>
      <c r="C471" s="6" t="s">
        <v>167</v>
      </c>
      <c r="D471" s="23">
        <v>3280</v>
      </c>
    </row>
    <row r="472" spans="1:4" x14ac:dyDescent="0.25">
      <c r="A472" s="7" t="s">
        <v>202</v>
      </c>
      <c r="B472" s="6" t="s">
        <v>191</v>
      </c>
      <c r="C472" s="6" t="s">
        <v>162</v>
      </c>
      <c r="D472" s="23">
        <v>568</v>
      </c>
    </row>
    <row r="473" spans="1:4" x14ac:dyDescent="0.25">
      <c r="A473" s="7" t="s">
        <v>202</v>
      </c>
      <c r="B473" s="6" t="s">
        <v>184</v>
      </c>
      <c r="C473" s="6" t="s">
        <v>159</v>
      </c>
      <c r="D473" s="23">
        <v>727.99999999999989</v>
      </c>
    </row>
    <row r="474" spans="1:4" x14ac:dyDescent="0.25">
      <c r="A474" s="7" t="s">
        <v>202</v>
      </c>
      <c r="B474" s="6" t="s">
        <v>189</v>
      </c>
      <c r="C474" s="6" t="s">
        <v>164</v>
      </c>
      <c r="D474" s="23">
        <v>461.99999999999994</v>
      </c>
    </row>
    <row r="475" spans="1:4" x14ac:dyDescent="0.25">
      <c r="A475" s="7" t="s">
        <v>202</v>
      </c>
      <c r="B475" s="6" t="s">
        <v>172</v>
      </c>
      <c r="C475" s="6" t="s">
        <v>173</v>
      </c>
      <c r="D475" s="23">
        <v>9440</v>
      </c>
    </row>
    <row r="476" spans="1:4" x14ac:dyDescent="0.25">
      <c r="A476" s="7" t="s">
        <v>202</v>
      </c>
      <c r="B476" s="6" t="s">
        <v>174</v>
      </c>
      <c r="C476" s="6" t="s">
        <v>159</v>
      </c>
      <c r="D476" s="23">
        <v>7242</v>
      </c>
    </row>
    <row r="477" spans="1:4" x14ac:dyDescent="0.25">
      <c r="A477" s="7" t="s">
        <v>202</v>
      </c>
      <c r="B477" s="6" t="s">
        <v>194</v>
      </c>
      <c r="C477" s="6" t="s">
        <v>173</v>
      </c>
      <c r="D477" s="23">
        <v>31824</v>
      </c>
    </row>
    <row r="478" spans="1:4" x14ac:dyDescent="0.25">
      <c r="A478" s="7" t="s">
        <v>202</v>
      </c>
      <c r="B478" s="6" t="s">
        <v>175</v>
      </c>
      <c r="C478" s="6" t="s">
        <v>167</v>
      </c>
      <c r="D478" s="23">
        <v>8610</v>
      </c>
    </row>
    <row r="479" spans="1:4" x14ac:dyDescent="0.25">
      <c r="A479" s="7" t="s">
        <v>202</v>
      </c>
      <c r="B479" s="6" t="s">
        <v>195</v>
      </c>
      <c r="C479" s="6" t="s">
        <v>162</v>
      </c>
      <c r="D479" s="23">
        <v>3146.0000000000005</v>
      </c>
    </row>
    <row r="480" spans="1:4" x14ac:dyDescent="0.25">
      <c r="A480" s="7" t="s">
        <v>202</v>
      </c>
      <c r="B480" s="6" t="s">
        <v>183</v>
      </c>
      <c r="C480" s="6" t="s">
        <v>167</v>
      </c>
      <c r="D480" s="23">
        <v>2528</v>
      </c>
    </row>
    <row r="481" spans="1:4" x14ac:dyDescent="0.25">
      <c r="A481" s="7" t="s">
        <v>202</v>
      </c>
      <c r="B481" s="6" t="s">
        <v>177</v>
      </c>
      <c r="C481" s="6" t="s">
        <v>173</v>
      </c>
      <c r="D481" s="23">
        <v>12198</v>
      </c>
    </row>
    <row r="482" spans="1:4" x14ac:dyDescent="0.25">
      <c r="A482" s="7" t="s">
        <v>202</v>
      </c>
      <c r="B482" s="6" t="s">
        <v>178</v>
      </c>
      <c r="C482" s="6" t="s">
        <v>173</v>
      </c>
      <c r="D482" s="23">
        <v>2834</v>
      </c>
    </row>
    <row r="483" spans="1:4" x14ac:dyDescent="0.25">
      <c r="A483" s="7" t="s">
        <v>202</v>
      </c>
      <c r="B483" s="6" t="s">
        <v>190</v>
      </c>
      <c r="C483" s="6" t="s">
        <v>162</v>
      </c>
      <c r="D483" s="23">
        <v>357</v>
      </c>
    </row>
    <row r="484" spans="1:4" x14ac:dyDescent="0.25">
      <c r="A484" s="7" t="s">
        <v>202</v>
      </c>
      <c r="B484" s="6" t="s">
        <v>179</v>
      </c>
      <c r="C484" s="6" t="s">
        <v>164</v>
      </c>
      <c r="D484" s="23">
        <v>7548</v>
      </c>
    </row>
    <row r="485" spans="1:4" x14ac:dyDescent="0.25">
      <c r="A485" s="7" t="s">
        <v>202</v>
      </c>
      <c r="B485" s="6" t="s">
        <v>180</v>
      </c>
      <c r="C485" s="6" t="s">
        <v>167</v>
      </c>
      <c r="D485" s="23">
        <v>10080</v>
      </c>
    </row>
    <row r="486" spans="1:4" x14ac:dyDescent="0.25">
      <c r="A486" s="7" t="s">
        <v>202</v>
      </c>
      <c r="B486" s="6" t="s">
        <v>181</v>
      </c>
      <c r="C486" s="6" t="s">
        <v>159</v>
      </c>
      <c r="D486" s="23">
        <v>2618</v>
      </c>
    </row>
    <row r="487" spans="1:4" x14ac:dyDescent="0.25">
      <c r="A487" s="7" t="s">
        <v>202</v>
      </c>
      <c r="B487" s="6" t="s">
        <v>182</v>
      </c>
      <c r="C487" s="6" t="s">
        <v>162</v>
      </c>
      <c r="D487" s="23">
        <v>2300</v>
      </c>
    </row>
    <row r="488" spans="1:4" x14ac:dyDescent="0.25">
      <c r="A488" s="7" t="s">
        <v>202</v>
      </c>
      <c r="B488" s="6" t="s">
        <v>158</v>
      </c>
      <c r="C488" s="6" t="s">
        <v>159</v>
      </c>
      <c r="D488" s="23">
        <v>4069.0000000000005</v>
      </c>
    </row>
    <row r="489" spans="1:4" x14ac:dyDescent="0.25">
      <c r="A489" s="7" t="s">
        <v>202</v>
      </c>
      <c r="B489" s="6" t="s">
        <v>160</v>
      </c>
      <c r="C489" s="6" t="s">
        <v>159</v>
      </c>
      <c r="D489" s="23">
        <v>2924</v>
      </c>
    </row>
    <row r="490" spans="1:4" x14ac:dyDescent="0.25">
      <c r="A490" s="7" t="s">
        <v>202</v>
      </c>
      <c r="B490" s="6" t="s">
        <v>192</v>
      </c>
      <c r="C490" s="6" t="s">
        <v>173</v>
      </c>
      <c r="D490" s="23">
        <v>14916</v>
      </c>
    </row>
    <row r="491" spans="1:4" x14ac:dyDescent="0.25">
      <c r="A491" s="7" t="s">
        <v>202</v>
      </c>
      <c r="B491" s="6" t="s">
        <v>165</v>
      </c>
      <c r="C491" s="6" t="s">
        <v>162</v>
      </c>
      <c r="D491" s="23">
        <v>9494</v>
      </c>
    </row>
    <row r="492" spans="1:4" x14ac:dyDescent="0.25">
      <c r="A492" s="7" t="s">
        <v>202</v>
      </c>
      <c r="B492" s="6" t="s">
        <v>166</v>
      </c>
      <c r="C492" s="6" t="s">
        <v>167</v>
      </c>
      <c r="D492" s="23">
        <v>4292</v>
      </c>
    </row>
    <row r="493" spans="1:4" x14ac:dyDescent="0.25">
      <c r="A493" s="7" t="s">
        <v>202</v>
      </c>
      <c r="B493" s="6" t="s">
        <v>168</v>
      </c>
      <c r="C493" s="6" t="s">
        <v>164</v>
      </c>
      <c r="D493" s="23">
        <v>104112</v>
      </c>
    </row>
    <row r="494" spans="1:4" x14ac:dyDescent="0.25">
      <c r="A494" s="7" t="s">
        <v>202</v>
      </c>
      <c r="B494" s="6" t="s">
        <v>169</v>
      </c>
      <c r="C494" s="6" t="s">
        <v>159</v>
      </c>
      <c r="D494" s="23">
        <v>14230.999999999998</v>
      </c>
    </row>
    <row r="495" spans="1:4" x14ac:dyDescent="0.25">
      <c r="A495" s="7" t="s">
        <v>202</v>
      </c>
      <c r="B495" s="6" t="s">
        <v>170</v>
      </c>
      <c r="C495" s="6" t="s">
        <v>159</v>
      </c>
      <c r="D495" s="23">
        <v>8596</v>
      </c>
    </row>
    <row r="496" spans="1:4" x14ac:dyDescent="0.25">
      <c r="A496" s="7" t="s">
        <v>202</v>
      </c>
      <c r="B496" s="6" t="s">
        <v>193</v>
      </c>
      <c r="C496" s="6" t="s">
        <v>173</v>
      </c>
      <c r="D496" s="23">
        <v>3072</v>
      </c>
    </row>
    <row r="497" spans="1:4" x14ac:dyDescent="0.25">
      <c r="A497" s="7" t="s">
        <v>202</v>
      </c>
      <c r="B497" s="6" t="s">
        <v>196</v>
      </c>
      <c r="C497" s="6" t="s">
        <v>167</v>
      </c>
      <c r="D497" s="23">
        <v>820</v>
      </c>
    </row>
    <row r="498" spans="1:4" x14ac:dyDescent="0.25">
      <c r="A498" s="7" t="s">
        <v>202</v>
      </c>
      <c r="B498" s="6" t="s">
        <v>191</v>
      </c>
      <c r="C498" s="6" t="s">
        <v>162</v>
      </c>
      <c r="D498" s="23">
        <v>1775</v>
      </c>
    </row>
    <row r="499" spans="1:4" x14ac:dyDescent="0.25">
      <c r="A499" s="7" t="s">
        <v>202</v>
      </c>
      <c r="B499" s="6" t="s">
        <v>171</v>
      </c>
      <c r="C499" s="6" t="s">
        <v>164</v>
      </c>
      <c r="D499" s="23">
        <v>32994</v>
      </c>
    </row>
    <row r="500" spans="1:4" x14ac:dyDescent="0.25">
      <c r="A500" s="7" t="s">
        <v>202</v>
      </c>
      <c r="B500" s="6" t="s">
        <v>184</v>
      </c>
      <c r="C500" s="6" t="s">
        <v>159</v>
      </c>
      <c r="D500" s="23">
        <v>3023.9999999999995</v>
      </c>
    </row>
    <row r="501" spans="1:4" x14ac:dyDescent="0.25">
      <c r="A501" s="7" t="s">
        <v>202</v>
      </c>
      <c r="B501" s="6" t="s">
        <v>189</v>
      </c>
      <c r="C501" s="6" t="s">
        <v>164</v>
      </c>
      <c r="D501" s="23">
        <v>2772</v>
      </c>
    </row>
    <row r="502" spans="1:4" x14ac:dyDescent="0.25">
      <c r="A502" s="7" t="s">
        <v>202</v>
      </c>
      <c r="B502" s="6" t="s">
        <v>172</v>
      </c>
      <c r="C502" s="6" t="s">
        <v>173</v>
      </c>
      <c r="D502" s="23">
        <v>2832</v>
      </c>
    </row>
    <row r="503" spans="1:4" x14ac:dyDescent="0.25">
      <c r="A503" s="7" t="s">
        <v>202</v>
      </c>
      <c r="B503" s="6" t="s">
        <v>174</v>
      </c>
      <c r="C503" s="6" t="s">
        <v>159</v>
      </c>
      <c r="D503" s="23">
        <v>4047</v>
      </c>
    </row>
    <row r="504" spans="1:4" x14ac:dyDescent="0.25">
      <c r="A504" s="7" t="s">
        <v>202</v>
      </c>
      <c r="B504" s="6" t="s">
        <v>194</v>
      </c>
      <c r="C504" s="6" t="s">
        <v>173</v>
      </c>
      <c r="D504" s="23">
        <v>23052</v>
      </c>
    </row>
    <row r="505" spans="1:4" x14ac:dyDescent="0.25">
      <c r="A505" s="7" t="s">
        <v>202</v>
      </c>
      <c r="B505" s="6" t="s">
        <v>175</v>
      </c>
      <c r="C505" s="6" t="s">
        <v>167</v>
      </c>
      <c r="D505" s="23">
        <v>840</v>
      </c>
    </row>
    <row r="506" spans="1:4" x14ac:dyDescent="0.25">
      <c r="A506" s="7" t="s">
        <v>202</v>
      </c>
      <c r="B506" s="6" t="s">
        <v>195</v>
      </c>
      <c r="C506" s="6" t="s">
        <v>162</v>
      </c>
      <c r="D506" s="23">
        <v>1694.0000000000002</v>
      </c>
    </row>
    <row r="507" spans="1:4" x14ac:dyDescent="0.25">
      <c r="A507" s="7" t="s">
        <v>202</v>
      </c>
      <c r="B507" s="6" t="s">
        <v>183</v>
      </c>
      <c r="C507" s="6" t="s">
        <v>167</v>
      </c>
      <c r="D507" s="23">
        <v>11060</v>
      </c>
    </row>
    <row r="508" spans="1:4" x14ac:dyDescent="0.25">
      <c r="A508" s="7" t="s">
        <v>202</v>
      </c>
      <c r="B508" s="6" t="s">
        <v>177</v>
      </c>
      <c r="C508" s="6" t="s">
        <v>173</v>
      </c>
      <c r="D508" s="23">
        <v>18404</v>
      </c>
    </row>
    <row r="509" spans="1:4" x14ac:dyDescent="0.25">
      <c r="A509" s="7" t="s">
        <v>202</v>
      </c>
      <c r="B509" s="6" t="s">
        <v>188</v>
      </c>
      <c r="C509" s="6" t="s">
        <v>173</v>
      </c>
      <c r="D509" s="23">
        <v>1488</v>
      </c>
    </row>
    <row r="510" spans="1:4" x14ac:dyDescent="0.25">
      <c r="A510" s="7" t="s">
        <v>202</v>
      </c>
      <c r="B510" s="6" t="s">
        <v>178</v>
      </c>
      <c r="C510" s="6" t="s">
        <v>173</v>
      </c>
      <c r="D510" s="23">
        <v>1853</v>
      </c>
    </row>
    <row r="511" spans="1:4" x14ac:dyDescent="0.25">
      <c r="A511" s="7" t="s">
        <v>202</v>
      </c>
      <c r="B511" s="6" t="s">
        <v>179</v>
      </c>
      <c r="C511" s="6" t="s">
        <v>164</v>
      </c>
      <c r="D511" s="23">
        <v>6732</v>
      </c>
    </row>
    <row r="512" spans="1:4" x14ac:dyDescent="0.25">
      <c r="A512" s="7" t="s">
        <v>202</v>
      </c>
      <c r="B512" s="6" t="s">
        <v>180</v>
      </c>
      <c r="C512" s="6" t="s">
        <v>167</v>
      </c>
      <c r="D512" s="23">
        <v>6660</v>
      </c>
    </row>
    <row r="513" spans="1:4" x14ac:dyDescent="0.25">
      <c r="A513" s="7" t="s">
        <v>202</v>
      </c>
      <c r="B513" s="6" t="s">
        <v>181</v>
      </c>
      <c r="C513" s="6" t="s">
        <v>159</v>
      </c>
      <c r="D513" s="23">
        <v>4284</v>
      </c>
    </row>
    <row r="514" spans="1:4" x14ac:dyDescent="0.25">
      <c r="A514" s="7" t="s">
        <v>202</v>
      </c>
      <c r="B514" s="6" t="s">
        <v>182</v>
      </c>
      <c r="C514" s="6" t="s">
        <v>162</v>
      </c>
      <c r="D514" s="23">
        <v>7820.0000000000009</v>
      </c>
    </row>
    <row r="515" spans="1:4" x14ac:dyDescent="0.25">
      <c r="A515" s="7" t="s">
        <v>202</v>
      </c>
      <c r="B515" s="6" t="s">
        <v>158</v>
      </c>
      <c r="C515" s="6" t="s">
        <v>159</v>
      </c>
      <c r="D515" s="23">
        <v>17215</v>
      </c>
    </row>
    <row r="516" spans="1:4" x14ac:dyDescent="0.25">
      <c r="A516" s="7" t="s">
        <v>202</v>
      </c>
      <c r="B516" s="6" t="s">
        <v>160</v>
      </c>
      <c r="C516" s="6" t="s">
        <v>159</v>
      </c>
      <c r="D516" s="23">
        <v>9792</v>
      </c>
    </row>
    <row r="517" spans="1:4" x14ac:dyDescent="0.25">
      <c r="A517" s="7" t="s">
        <v>202</v>
      </c>
      <c r="B517" s="6" t="s">
        <v>192</v>
      </c>
      <c r="C517" s="6" t="s">
        <v>173</v>
      </c>
      <c r="D517" s="23">
        <v>56274</v>
      </c>
    </row>
    <row r="518" spans="1:4" x14ac:dyDescent="0.25">
      <c r="A518" s="7" t="s">
        <v>202</v>
      </c>
      <c r="B518" s="6" t="s">
        <v>165</v>
      </c>
      <c r="C518" s="6" t="s">
        <v>162</v>
      </c>
      <c r="D518" s="23">
        <v>15553.999999999998</v>
      </c>
    </row>
    <row r="519" spans="1:4" x14ac:dyDescent="0.25">
      <c r="A519" s="7" t="s">
        <v>202</v>
      </c>
      <c r="B519" s="6" t="s">
        <v>166</v>
      </c>
      <c r="C519" s="6" t="s">
        <v>167</v>
      </c>
      <c r="D519" s="23">
        <v>4736</v>
      </c>
    </row>
    <row r="520" spans="1:4" x14ac:dyDescent="0.25">
      <c r="A520" s="7" t="s">
        <v>202</v>
      </c>
      <c r="B520" s="6" t="s">
        <v>168</v>
      </c>
      <c r="C520" s="6" t="s">
        <v>164</v>
      </c>
      <c r="D520" s="23">
        <v>42416</v>
      </c>
    </row>
    <row r="521" spans="1:4" x14ac:dyDescent="0.25">
      <c r="A521" s="7" t="s">
        <v>202</v>
      </c>
      <c r="B521" s="6" t="s">
        <v>169</v>
      </c>
      <c r="C521" s="6" t="s">
        <v>159</v>
      </c>
      <c r="D521" s="23">
        <v>31254.999999999996</v>
      </c>
    </row>
    <row r="522" spans="1:4" x14ac:dyDescent="0.25">
      <c r="A522" s="7" t="s">
        <v>202</v>
      </c>
      <c r="B522" s="6" t="s">
        <v>170</v>
      </c>
      <c r="C522" s="6" t="s">
        <v>159</v>
      </c>
      <c r="D522" s="23">
        <v>45743</v>
      </c>
    </row>
    <row r="523" spans="1:4" x14ac:dyDescent="0.25">
      <c r="A523" s="7" t="s">
        <v>202</v>
      </c>
      <c r="B523" s="6" t="s">
        <v>193</v>
      </c>
      <c r="C523" s="6" t="s">
        <v>173</v>
      </c>
      <c r="D523" s="23">
        <v>6464</v>
      </c>
    </row>
    <row r="524" spans="1:4" x14ac:dyDescent="0.25">
      <c r="A524" s="7" t="s">
        <v>202</v>
      </c>
      <c r="B524" s="6" t="s">
        <v>196</v>
      </c>
      <c r="C524" s="6" t="s">
        <v>167</v>
      </c>
      <c r="D524" s="23">
        <v>3280</v>
      </c>
    </row>
    <row r="525" spans="1:4" x14ac:dyDescent="0.25">
      <c r="A525" s="7" t="s">
        <v>202</v>
      </c>
      <c r="B525" s="6" t="s">
        <v>191</v>
      </c>
      <c r="C525" s="6" t="s">
        <v>162</v>
      </c>
      <c r="D525" s="23">
        <v>781</v>
      </c>
    </row>
    <row r="526" spans="1:4" x14ac:dyDescent="0.25">
      <c r="A526" s="7" t="s">
        <v>202</v>
      </c>
      <c r="B526" s="6" t="s">
        <v>184</v>
      </c>
      <c r="C526" s="6" t="s">
        <v>159</v>
      </c>
      <c r="D526" s="23">
        <v>5375.9999999999991</v>
      </c>
    </row>
    <row r="527" spans="1:4" x14ac:dyDescent="0.25">
      <c r="A527" s="7" t="s">
        <v>202</v>
      </c>
      <c r="B527" s="6" t="s">
        <v>189</v>
      </c>
      <c r="C527" s="6" t="s">
        <v>164</v>
      </c>
      <c r="D527" s="23">
        <v>1847.9999999999998</v>
      </c>
    </row>
    <row r="528" spans="1:4" x14ac:dyDescent="0.25">
      <c r="A528" s="7" t="s">
        <v>202</v>
      </c>
      <c r="B528" s="6" t="s">
        <v>172</v>
      </c>
      <c r="C528" s="6" t="s">
        <v>173</v>
      </c>
      <c r="D528" s="23">
        <v>28556</v>
      </c>
    </row>
    <row r="529" spans="1:4" x14ac:dyDescent="0.25">
      <c r="A529" s="7" t="s">
        <v>202</v>
      </c>
      <c r="B529" s="6" t="s">
        <v>174</v>
      </c>
      <c r="C529" s="6" t="s">
        <v>159</v>
      </c>
      <c r="D529" s="23">
        <v>43239</v>
      </c>
    </row>
    <row r="530" spans="1:4" x14ac:dyDescent="0.25">
      <c r="A530" s="7" t="s">
        <v>202</v>
      </c>
      <c r="B530" s="6" t="s">
        <v>194</v>
      </c>
      <c r="C530" s="6" t="s">
        <v>173</v>
      </c>
      <c r="D530" s="23">
        <v>20604</v>
      </c>
    </row>
    <row r="531" spans="1:4" x14ac:dyDescent="0.25">
      <c r="A531" s="7" t="s">
        <v>202</v>
      </c>
      <c r="B531" s="6" t="s">
        <v>195</v>
      </c>
      <c r="C531" s="6" t="s">
        <v>162</v>
      </c>
      <c r="D531" s="23">
        <v>968.00000000000011</v>
      </c>
    </row>
    <row r="532" spans="1:4" x14ac:dyDescent="0.25">
      <c r="A532" s="7" t="s">
        <v>202</v>
      </c>
      <c r="B532" s="6" t="s">
        <v>183</v>
      </c>
      <c r="C532" s="6" t="s">
        <v>167</v>
      </c>
      <c r="D532" s="23">
        <v>30652.000000000004</v>
      </c>
    </row>
    <row r="533" spans="1:4" x14ac:dyDescent="0.25">
      <c r="A533" s="7" t="s">
        <v>202</v>
      </c>
      <c r="B533" s="6" t="s">
        <v>177</v>
      </c>
      <c r="C533" s="6" t="s">
        <v>173</v>
      </c>
      <c r="D533" s="23">
        <v>13910</v>
      </c>
    </row>
    <row r="534" spans="1:4" x14ac:dyDescent="0.25">
      <c r="A534" s="7" t="s">
        <v>202</v>
      </c>
      <c r="B534" s="6" t="s">
        <v>188</v>
      </c>
      <c r="C534" s="6" t="s">
        <v>173</v>
      </c>
      <c r="D534" s="23">
        <v>9920</v>
      </c>
    </row>
    <row r="535" spans="1:4" x14ac:dyDescent="0.25">
      <c r="A535" s="7" t="s">
        <v>202</v>
      </c>
      <c r="B535" s="6" t="s">
        <v>178</v>
      </c>
      <c r="C535" s="6" t="s">
        <v>173</v>
      </c>
      <c r="D535" s="23">
        <v>8284</v>
      </c>
    </row>
    <row r="536" spans="1:4" x14ac:dyDescent="0.25">
      <c r="A536" s="7" t="s">
        <v>202</v>
      </c>
      <c r="B536" s="6" t="s">
        <v>190</v>
      </c>
      <c r="C536" s="6" t="s">
        <v>162</v>
      </c>
      <c r="D536" s="23">
        <v>1470</v>
      </c>
    </row>
    <row r="537" spans="1:4" x14ac:dyDescent="0.25">
      <c r="A537" s="7" t="s">
        <v>202</v>
      </c>
      <c r="B537" s="6" t="s">
        <v>179</v>
      </c>
      <c r="C537" s="6" t="s">
        <v>164</v>
      </c>
      <c r="D537" s="23">
        <v>16524</v>
      </c>
    </row>
    <row r="538" spans="1:4" x14ac:dyDescent="0.25">
      <c r="A538" s="7" t="s">
        <v>202</v>
      </c>
      <c r="B538" s="6" t="s">
        <v>180</v>
      </c>
      <c r="C538" s="6" t="s">
        <v>167</v>
      </c>
      <c r="D538" s="23">
        <v>36900</v>
      </c>
    </row>
    <row r="539" spans="1:4" x14ac:dyDescent="0.25">
      <c r="A539" s="7" t="s">
        <v>202</v>
      </c>
      <c r="B539" s="6" t="s">
        <v>186</v>
      </c>
      <c r="C539" s="6" t="s">
        <v>167</v>
      </c>
      <c r="D539" s="23">
        <v>2185</v>
      </c>
    </row>
    <row r="540" spans="1:4" x14ac:dyDescent="0.25">
      <c r="A540" s="7" t="s">
        <v>202</v>
      </c>
      <c r="B540" s="6" t="s">
        <v>181</v>
      </c>
      <c r="C540" s="6" t="s">
        <v>159</v>
      </c>
      <c r="D540" s="23">
        <v>5236</v>
      </c>
    </row>
    <row r="541" spans="1:4" x14ac:dyDescent="0.25">
      <c r="A541" s="7" t="s">
        <v>202</v>
      </c>
      <c r="B541" s="6" t="s">
        <v>182</v>
      </c>
      <c r="C541" s="6" t="s">
        <v>162</v>
      </c>
      <c r="D541" s="23">
        <v>7820.0000000000009</v>
      </c>
    </row>
  </sheetData>
  <autoFilter ref="A16:D541" xr:uid="{9775608C-6374-45D4-B1D4-767BB803A669}"/>
  <pageMargins left="0.7" right="0.7" top="0.78740157499999996" bottom="0.78740157499999996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03DD-30DF-4CAE-A9D7-69D141B1EDB6}">
  <dimension ref="B2:O33"/>
  <sheetViews>
    <sheetView showGridLines="0" topLeftCell="B1" workbookViewId="0">
      <selection activeCell="H16" sqref="H16"/>
    </sheetView>
  </sheetViews>
  <sheetFormatPr defaultColWidth="9" defaultRowHeight="15" x14ac:dyDescent="0.25"/>
  <cols>
    <col min="1" max="1" width="9.42578125" style="2" bestFit="1" customWidth="1"/>
    <col min="2" max="2" width="10.85546875" style="2" customWidth="1"/>
    <col min="3" max="3" width="13.28515625" style="2" customWidth="1"/>
    <col min="4" max="4" width="16.7109375" style="2" customWidth="1"/>
    <col min="5" max="5" width="30.85546875" style="2" customWidth="1"/>
    <col min="6" max="6" width="12.85546875" style="2" customWidth="1"/>
    <col min="7" max="7" width="11.42578125" style="2" customWidth="1"/>
    <col min="8" max="8" width="9" style="2"/>
    <col min="9" max="9" width="8" style="2" bestFit="1" customWidth="1"/>
    <col min="10" max="10" width="10.42578125" style="2" bestFit="1" customWidth="1"/>
    <col min="11" max="11" width="12.42578125" style="2" customWidth="1"/>
    <col min="12" max="12" width="26.140625" style="2" bestFit="1" customWidth="1"/>
    <col min="13" max="13" width="12.28515625" style="2" bestFit="1" customWidth="1"/>
    <col min="14" max="14" width="10.140625" style="2" bestFit="1" customWidth="1"/>
    <col min="15" max="16384" width="9" style="2"/>
  </cols>
  <sheetData>
    <row r="2" spans="2:15" x14ac:dyDescent="0.25">
      <c r="B2" s="10" t="s">
        <v>79</v>
      </c>
      <c r="C2" s="11" t="s">
        <v>140</v>
      </c>
      <c r="D2" s="11" t="s">
        <v>249</v>
      </c>
      <c r="E2" s="11" t="s">
        <v>250</v>
      </c>
      <c r="F2" s="11" t="s">
        <v>251</v>
      </c>
      <c r="G2" s="12" t="s">
        <v>252</v>
      </c>
    </row>
    <row r="3" spans="2:15" x14ac:dyDescent="0.25">
      <c r="B3" s="28" t="s">
        <v>149</v>
      </c>
      <c r="C3" s="1" t="s">
        <v>204</v>
      </c>
      <c r="D3" s="26">
        <v>45012</v>
      </c>
      <c r="E3" s="1" t="s">
        <v>205</v>
      </c>
      <c r="F3" s="1" t="s">
        <v>206</v>
      </c>
      <c r="G3" s="29">
        <v>34703</v>
      </c>
    </row>
    <row r="4" spans="2:15" x14ac:dyDescent="0.25">
      <c r="B4" s="28" t="s">
        <v>207</v>
      </c>
      <c r="C4" s="1" t="s">
        <v>208</v>
      </c>
      <c r="D4" s="26">
        <v>42079</v>
      </c>
      <c r="E4" s="1" t="s">
        <v>209</v>
      </c>
      <c r="F4" s="1" t="s">
        <v>206</v>
      </c>
      <c r="G4" s="29">
        <v>34913</v>
      </c>
    </row>
    <row r="5" spans="2:15" x14ac:dyDescent="0.25">
      <c r="B5" s="28" t="s">
        <v>210</v>
      </c>
      <c r="C5" s="1" t="s">
        <v>211</v>
      </c>
      <c r="D5" s="26">
        <v>45393</v>
      </c>
      <c r="E5" s="1" t="s">
        <v>205</v>
      </c>
      <c r="F5" s="1" t="s">
        <v>206</v>
      </c>
      <c r="G5" s="29">
        <v>35770</v>
      </c>
    </row>
    <row r="6" spans="2:15" x14ac:dyDescent="0.25">
      <c r="B6" s="28" t="s">
        <v>207</v>
      </c>
      <c r="C6" s="1" t="s">
        <v>212</v>
      </c>
      <c r="D6" s="26">
        <v>42179</v>
      </c>
      <c r="E6" s="1" t="s">
        <v>213</v>
      </c>
      <c r="F6" s="1" t="s">
        <v>206</v>
      </c>
      <c r="G6" s="29">
        <v>96201</v>
      </c>
    </row>
    <row r="7" spans="2:15" x14ac:dyDescent="0.25">
      <c r="B7" s="28" t="s">
        <v>214</v>
      </c>
      <c r="C7" s="1" t="s">
        <v>215</v>
      </c>
      <c r="D7" s="26">
        <v>43694</v>
      </c>
      <c r="E7" s="1" t="s">
        <v>209</v>
      </c>
      <c r="F7" s="1" t="s">
        <v>206</v>
      </c>
      <c r="G7" s="29">
        <v>45427</v>
      </c>
    </row>
    <row r="8" spans="2:15" x14ac:dyDescent="0.25">
      <c r="B8" s="28" t="s">
        <v>207</v>
      </c>
      <c r="C8" s="1" t="s">
        <v>216</v>
      </c>
      <c r="D8" s="26">
        <v>43427</v>
      </c>
      <c r="E8" s="1" t="s">
        <v>205</v>
      </c>
      <c r="F8" s="1" t="s">
        <v>206</v>
      </c>
      <c r="G8" s="29">
        <v>39598</v>
      </c>
      <c r="I8"/>
      <c r="J8" t="s">
        <v>79</v>
      </c>
      <c r="K8" t="s">
        <v>140</v>
      </c>
      <c r="L8" t="s">
        <v>249</v>
      </c>
      <c r="M8" t="s">
        <v>250</v>
      </c>
      <c r="N8" t="s">
        <v>251</v>
      </c>
      <c r="O8" t="s">
        <v>252</v>
      </c>
    </row>
    <row r="9" spans="2:15" x14ac:dyDescent="0.25">
      <c r="B9" s="28" t="s">
        <v>217</v>
      </c>
      <c r="C9" s="1" t="s">
        <v>218</v>
      </c>
      <c r="D9" s="26">
        <v>43094</v>
      </c>
      <c r="E9" s="1" t="s">
        <v>209</v>
      </c>
      <c r="F9" s="1" t="s">
        <v>206</v>
      </c>
      <c r="G9" s="29">
        <v>44419</v>
      </c>
      <c r="I9"/>
      <c r="J9" t="s">
        <v>149</v>
      </c>
      <c r="K9" t="s">
        <v>204</v>
      </c>
      <c r="L9" s="45">
        <v>45012</v>
      </c>
      <c r="M9" t="s">
        <v>205</v>
      </c>
      <c r="N9" t="s">
        <v>206</v>
      </c>
      <c r="O9">
        <v>34703</v>
      </c>
    </row>
    <row r="10" spans="2:15" x14ac:dyDescent="0.25">
      <c r="B10" s="28" t="s">
        <v>219</v>
      </c>
      <c r="C10" s="1" t="s">
        <v>208</v>
      </c>
      <c r="D10" s="26">
        <v>44558</v>
      </c>
      <c r="E10" s="1" t="s">
        <v>209</v>
      </c>
      <c r="F10" s="1" t="s">
        <v>206</v>
      </c>
      <c r="G10" s="29">
        <v>41133</v>
      </c>
      <c r="I10"/>
      <c r="J10" t="s">
        <v>207</v>
      </c>
      <c r="K10" t="s">
        <v>208</v>
      </c>
      <c r="L10" s="45">
        <v>42079</v>
      </c>
      <c r="M10" t="s">
        <v>209</v>
      </c>
      <c r="N10" t="s">
        <v>206</v>
      </c>
      <c r="O10">
        <v>34913</v>
      </c>
    </row>
    <row r="11" spans="2:15" x14ac:dyDescent="0.25">
      <c r="B11" s="30" t="s">
        <v>148</v>
      </c>
      <c r="C11" s="31" t="s">
        <v>212</v>
      </c>
      <c r="D11" s="32">
        <v>42567</v>
      </c>
      <c r="E11" s="31" t="s">
        <v>205</v>
      </c>
      <c r="F11" s="31" t="s">
        <v>206</v>
      </c>
      <c r="G11" s="33">
        <v>34840</v>
      </c>
      <c r="I11"/>
      <c r="J11" t="s">
        <v>210</v>
      </c>
      <c r="K11" t="s">
        <v>211</v>
      </c>
      <c r="L11" s="45">
        <v>45393</v>
      </c>
      <c r="M11" t="s">
        <v>205</v>
      </c>
      <c r="N11" t="s">
        <v>206</v>
      </c>
      <c r="O11">
        <v>35770</v>
      </c>
    </row>
    <row r="12" spans="2:15" x14ac:dyDescent="0.25">
      <c r="D12"/>
      <c r="E12"/>
      <c r="I12"/>
      <c r="J12" t="s">
        <v>207</v>
      </c>
      <c r="K12" t="s">
        <v>212</v>
      </c>
      <c r="L12" s="45">
        <v>42179</v>
      </c>
      <c r="M12" t="s">
        <v>213</v>
      </c>
      <c r="N12" t="s">
        <v>206</v>
      </c>
      <c r="O12">
        <v>96201</v>
      </c>
    </row>
    <row r="13" spans="2:15" x14ac:dyDescent="0.25">
      <c r="B13" s="10" t="s">
        <v>79</v>
      </c>
      <c r="C13" s="11" t="s">
        <v>140</v>
      </c>
      <c r="D13" s="11" t="s">
        <v>249</v>
      </c>
      <c r="E13" s="11" t="s">
        <v>250</v>
      </c>
      <c r="F13" s="11" t="s">
        <v>251</v>
      </c>
      <c r="G13" s="12" t="s">
        <v>252</v>
      </c>
      <c r="I13"/>
      <c r="J13" t="s">
        <v>214</v>
      </c>
      <c r="K13" t="s">
        <v>215</v>
      </c>
      <c r="L13" s="45">
        <v>43694</v>
      </c>
      <c r="M13" t="s">
        <v>209</v>
      </c>
      <c r="N13" t="s">
        <v>206</v>
      </c>
      <c r="O13">
        <v>45427</v>
      </c>
    </row>
    <row r="14" spans="2:15" x14ac:dyDescent="0.25">
      <c r="B14" s="28" t="s">
        <v>219</v>
      </c>
      <c r="C14" s="1" t="s">
        <v>220</v>
      </c>
      <c r="D14" s="26">
        <v>43061</v>
      </c>
      <c r="E14" s="1" t="s">
        <v>205</v>
      </c>
      <c r="F14" s="1" t="s">
        <v>221</v>
      </c>
      <c r="G14" s="29">
        <v>35530</v>
      </c>
      <c r="I14"/>
      <c r="J14" t="s">
        <v>207</v>
      </c>
      <c r="K14" t="s">
        <v>216</v>
      </c>
      <c r="L14" s="45">
        <v>43427</v>
      </c>
      <c r="M14" t="s">
        <v>205</v>
      </c>
      <c r="N14" t="s">
        <v>206</v>
      </c>
      <c r="O14">
        <v>39598</v>
      </c>
    </row>
    <row r="15" spans="2:15" x14ac:dyDescent="0.25">
      <c r="B15" s="28" t="s">
        <v>222</v>
      </c>
      <c r="C15" s="1" t="s">
        <v>223</v>
      </c>
      <c r="D15" s="26">
        <v>45349</v>
      </c>
      <c r="E15" s="1" t="s">
        <v>224</v>
      </c>
      <c r="F15" s="1" t="s">
        <v>221</v>
      </c>
      <c r="G15" s="29">
        <v>42321</v>
      </c>
      <c r="I15"/>
      <c r="J15" t="s">
        <v>217</v>
      </c>
      <c r="K15" t="s">
        <v>218</v>
      </c>
      <c r="L15" s="45">
        <v>43094</v>
      </c>
      <c r="M15" t="s">
        <v>209</v>
      </c>
      <c r="N15" t="s">
        <v>206</v>
      </c>
      <c r="O15">
        <v>44419</v>
      </c>
    </row>
    <row r="16" spans="2:15" x14ac:dyDescent="0.25">
      <c r="B16" s="28" t="s">
        <v>225</v>
      </c>
      <c r="C16" s="1" t="s">
        <v>226</v>
      </c>
      <c r="D16" s="26">
        <v>42604</v>
      </c>
      <c r="E16" s="1" t="s">
        <v>227</v>
      </c>
      <c r="F16" s="1" t="s">
        <v>221</v>
      </c>
      <c r="G16" s="29">
        <v>80513</v>
      </c>
      <c r="I16"/>
      <c r="J16" t="s">
        <v>219</v>
      </c>
      <c r="K16" t="s">
        <v>208</v>
      </c>
      <c r="L16" s="45">
        <v>44558</v>
      </c>
      <c r="M16" t="s">
        <v>209</v>
      </c>
      <c r="N16" t="s">
        <v>206</v>
      </c>
      <c r="O16">
        <v>41133</v>
      </c>
    </row>
    <row r="17" spans="2:15" x14ac:dyDescent="0.25">
      <c r="B17" s="30" t="s">
        <v>149</v>
      </c>
      <c r="C17" s="31" t="s">
        <v>228</v>
      </c>
      <c r="D17" s="32">
        <v>42265</v>
      </c>
      <c r="E17" s="31" t="s">
        <v>229</v>
      </c>
      <c r="F17" s="31" t="s">
        <v>221</v>
      </c>
      <c r="G17" s="33">
        <v>42321</v>
      </c>
      <c r="I17"/>
      <c r="J17" t="s">
        <v>148</v>
      </c>
      <c r="K17" t="s">
        <v>212</v>
      </c>
      <c r="L17" s="45">
        <v>42567</v>
      </c>
      <c r="M17" t="s">
        <v>205</v>
      </c>
      <c r="N17" t="s">
        <v>206</v>
      </c>
      <c r="O17">
        <v>34840</v>
      </c>
    </row>
    <row r="18" spans="2:15" x14ac:dyDescent="0.25">
      <c r="I18"/>
      <c r="J18" t="s">
        <v>219</v>
      </c>
      <c r="K18" t="s">
        <v>220</v>
      </c>
      <c r="L18" s="45">
        <v>43061</v>
      </c>
      <c r="M18" t="s">
        <v>205</v>
      </c>
      <c r="N18" t="s">
        <v>221</v>
      </c>
      <c r="O18">
        <v>35530</v>
      </c>
    </row>
    <row r="19" spans="2:15" x14ac:dyDescent="0.25">
      <c r="B19" s="10" t="s">
        <v>79</v>
      </c>
      <c r="C19" s="11" t="s">
        <v>140</v>
      </c>
      <c r="D19" s="11" t="s">
        <v>249</v>
      </c>
      <c r="E19" s="11" t="s">
        <v>250</v>
      </c>
      <c r="F19" s="11" t="s">
        <v>251</v>
      </c>
      <c r="G19" s="12" t="s">
        <v>252</v>
      </c>
      <c r="I19"/>
      <c r="J19" t="s">
        <v>222</v>
      </c>
      <c r="K19" t="s">
        <v>223</v>
      </c>
      <c r="L19" s="45">
        <v>45349</v>
      </c>
      <c r="M19" t="s">
        <v>224</v>
      </c>
      <c r="N19" t="s">
        <v>221</v>
      </c>
      <c r="O19">
        <v>42321</v>
      </c>
    </row>
    <row r="20" spans="2:15" x14ac:dyDescent="0.25">
      <c r="B20" s="28" t="s">
        <v>207</v>
      </c>
      <c r="C20" s="1" t="s">
        <v>216</v>
      </c>
      <c r="D20" s="26">
        <v>42972</v>
      </c>
      <c r="E20" s="1" t="s">
        <v>230</v>
      </c>
      <c r="F20" s="1" t="s">
        <v>231</v>
      </c>
      <c r="G20" s="29">
        <v>46925</v>
      </c>
      <c r="I20"/>
      <c r="J20" t="s">
        <v>225</v>
      </c>
      <c r="K20" t="s">
        <v>226</v>
      </c>
      <c r="L20" s="45">
        <v>42604</v>
      </c>
      <c r="M20" t="s">
        <v>227</v>
      </c>
      <c r="N20" t="s">
        <v>221</v>
      </c>
      <c r="O20">
        <v>80513</v>
      </c>
    </row>
    <row r="21" spans="2:15" x14ac:dyDescent="0.25">
      <c r="B21" s="28" t="s">
        <v>148</v>
      </c>
      <c r="C21" s="1" t="s">
        <v>232</v>
      </c>
      <c r="D21" s="26">
        <v>42278</v>
      </c>
      <c r="E21" s="1" t="s">
        <v>233</v>
      </c>
      <c r="F21" s="1" t="s">
        <v>231</v>
      </c>
      <c r="G21" s="29">
        <v>32869</v>
      </c>
      <c r="I21"/>
      <c r="J21" t="s">
        <v>149</v>
      </c>
      <c r="K21" t="s">
        <v>228</v>
      </c>
      <c r="L21" s="45">
        <v>42265</v>
      </c>
      <c r="M21" t="s">
        <v>229</v>
      </c>
      <c r="N21" t="s">
        <v>221</v>
      </c>
      <c r="O21">
        <v>42321</v>
      </c>
    </row>
    <row r="22" spans="2:15" x14ac:dyDescent="0.25">
      <c r="B22" s="28" t="s">
        <v>148</v>
      </c>
      <c r="C22" s="1" t="s">
        <v>234</v>
      </c>
      <c r="D22" s="26">
        <v>43604</v>
      </c>
      <c r="E22" s="1" t="s">
        <v>230</v>
      </c>
      <c r="F22" s="1" t="s">
        <v>231</v>
      </c>
      <c r="G22" s="29">
        <v>51824</v>
      </c>
      <c r="I22"/>
      <c r="J22" t="s">
        <v>207</v>
      </c>
      <c r="K22" t="s">
        <v>216</v>
      </c>
      <c r="L22" s="45">
        <v>42972</v>
      </c>
      <c r="M22" t="s">
        <v>230</v>
      </c>
      <c r="N22" t="s">
        <v>231</v>
      </c>
      <c r="O22">
        <v>46925</v>
      </c>
    </row>
    <row r="23" spans="2:15" x14ac:dyDescent="0.25">
      <c r="B23" s="28" t="s">
        <v>207</v>
      </c>
      <c r="C23" s="1" t="s">
        <v>235</v>
      </c>
      <c r="D23" s="26">
        <v>43321</v>
      </c>
      <c r="E23" s="1" t="s">
        <v>230</v>
      </c>
      <c r="F23" s="1" t="s">
        <v>231</v>
      </c>
      <c r="G23" s="29">
        <v>45919</v>
      </c>
      <c r="I23"/>
      <c r="J23" t="s">
        <v>148</v>
      </c>
      <c r="K23" t="s">
        <v>232</v>
      </c>
      <c r="L23" s="45">
        <v>42278</v>
      </c>
      <c r="M23" t="s">
        <v>233</v>
      </c>
      <c r="N23" t="s">
        <v>231</v>
      </c>
      <c r="O23">
        <v>32869</v>
      </c>
    </row>
    <row r="24" spans="2:15" x14ac:dyDescent="0.25">
      <c r="B24" s="28" t="s">
        <v>149</v>
      </c>
      <c r="C24" s="1" t="s">
        <v>236</v>
      </c>
      <c r="D24" s="26">
        <v>44147</v>
      </c>
      <c r="E24" s="1" t="s">
        <v>233</v>
      </c>
      <c r="F24" s="1" t="s">
        <v>231</v>
      </c>
      <c r="G24" s="29">
        <v>35666</v>
      </c>
      <c r="I24"/>
      <c r="J24" t="s">
        <v>148</v>
      </c>
      <c r="K24" t="s">
        <v>234</v>
      </c>
      <c r="L24" s="45">
        <v>43604</v>
      </c>
      <c r="M24" t="s">
        <v>230</v>
      </c>
      <c r="N24" t="s">
        <v>231</v>
      </c>
      <c r="O24">
        <v>51824</v>
      </c>
    </row>
    <row r="25" spans="2:15" x14ac:dyDescent="0.25">
      <c r="B25" s="28" t="s">
        <v>207</v>
      </c>
      <c r="C25" s="1" t="s">
        <v>215</v>
      </c>
      <c r="D25" s="26">
        <v>43053</v>
      </c>
      <c r="E25" s="1" t="s">
        <v>205</v>
      </c>
      <c r="F25" s="1" t="s">
        <v>231</v>
      </c>
      <c r="G25" s="29">
        <v>39088</v>
      </c>
      <c r="I25"/>
      <c r="J25" t="s">
        <v>207</v>
      </c>
      <c r="K25" t="s">
        <v>235</v>
      </c>
      <c r="L25" s="45">
        <v>43321</v>
      </c>
      <c r="M25" t="s">
        <v>230</v>
      </c>
      <c r="N25" t="s">
        <v>231</v>
      </c>
      <c r="O25">
        <v>45919</v>
      </c>
    </row>
    <row r="26" spans="2:15" x14ac:dyDescent="0.25">
      <c r="B26" s="28" t="s">
        <v>150</v>
      </c>
      <c r="C26" s="1" t="s">
        <v>208</v>
      </c>
      <c r="D26" s="26">
        <v>42869</v>
      </c>
      <c r="E26" s="1" t="s">
        <v>230</v>
      </c>
      <c r="F26" s="1" t="s">
        <v>231</v>
      </c>
      <c r="G26" s="29">
        <v>40339</v>
      </c>
      <c r="I26" s="39"/>
      <c r="J26" t="s">
        <v>149</v>
      </c>
      <c r="K26" t="s">
        <v>236</v>
      </c>
      <c r="L26" s="45">
        <v>44147</v>
      </c>
      <c r="M26" t="s">
        <v>233</v>
      </c>
      <c r="N26" t="s">
        <v>231</v>
      </c>
      <c r="O26">
        <v>35666</v>
      </c>
    </row>
    <row r="27" spans="2:15" x14ac:dyDescent="0.25">
      <c r="B27" s="28" t="s">
        <v>219</v>
      </c>
      <c r="C27" s="1" t="s">
        <v>234</v>
      </c>
      <c r="D27" s="26">
        <v>42812</v>
      </c>
      <c r="E27" s="1" t="s">
        <v>237</v>
      </c>
      <c r="F27" s="1" t="s">
        <v>231</v>
      </c>
      <c r="G27" s="29">
        <v>86902</v>
      </c>
      <c r="I27" s="39"/>
      <c r="J27" t="s">
        <v>207</v>
      </c>
      <c r="K27" t="s">
        <v>215</v>
      </c>
      <c r="L27" s="45">
        <v>43053</v>
      </c>
      <c r="M27" t="s">
        <v>205</v>
      </c>
      <c r="N27" t="s">
        <v>231</v>
      </c>
      <c r="O27">
        <v>39088</v>
      </c>
    </row>
    <row r="28" spans="2:15" x14ac:dyDescent="0.25">
      <c r="B28" s="28" t="s">
        <v>149</v>
      </c>
      <c r="C28" s="1" t="s">
        <v>238</v>
      </c>
      <c r="D28" s="26">
        <v>45192</v>
      </c>
      <c r="E28" s="1" t="s">
        <v>230</v>
      </c>
      <c r="F28" s="1" t="s">
        <v>231</v>
      </c>
      <c r="G28" s="29">
        <v>48099</v>
      </c>
      <c r="I28" s="39"/>
      <c r="J28" t="s">
        <v>150</v>
      </c>
      <c r="K28" t="s">
        <v>208</v>
      </c>
      <c r="L28" s="45">
        <v>42869</v>
      </c>
      <c r="M28" t="s">
        <v>230</v>
      </c>
      <c r="N28" t="s">
        <v>231</v>
      </c>
      <c r="O28">
        <v>40339</v>
      </c>
    </row>
    <row r="29" spans="2:15" x14ac:dyDescent="0.25">
      <c r="B29" s="28" t="s">
        <v>239</v>
      </c>
      <c r="C29" s="1" t="s">
        <v>240</v>
      </c>
      <c r="D29" s="26">
        <v>43872</v>
      </c>
      <c r="E29" s="1" t="s">
        <v>241</v>
      </c>
      <c r="F29" s="1" t="s">
        <v>231</v>
      </c>
      <c r="G29" s="29">
        <v>75322</v>
      </c>
      <c r="I29" s="39"/>
      <c r="J29" t="s">
        <v>219</v>
      </c>
      <c r="K29" t="s">
        <v>234</v>
      </c>
      <c r="L29" s="45">
        <v>42812</v>
      </c>
      <c r="M29" t="s">
        <v>237</v>
      </c>
      <c r="N29" t="s">
        <v>231</v>
      </c>
      <c r="O29">
        <v>86902</v>
      </c>
    </row>
    <row r="30" spans="2:15" x14ac:dyDescent="0.25">
      <c r="B30" s="28" t="s">
        <v>242</v>
      </c>
      <c r="C30" s="1" t="s">
        <v>243</v>
      </c>
      <c r="D30" s="26">
        <v>43593</v>
      </c>
      <c r="E30" s="1" t="s">
        <v>230</v>
      </c>
      <c r="F30" s="1" t="s">
        <v>231</v>
      </c>
      <c r="G30" s="29">
        <v>46011</v>
      </c>
      <c r="I30" s="39"/>
      <c r="J30" t="s">
        <v>149</v>
      </c>
      <c r="K30" t="s">
        <v>238</v>
      </c>
      <c r="L30" s="45">
        <v>45192</v>
      </c>
      <c r="M30" t="s">
        <v>230</v>
      </c>
      <c r="N30" t="s">
        <v>231</v>
      </c>
      <c r="O30">
        <v>48099</v>
      </c>
    </row>
    <row r="31" spans="2:15" x14ac:dyDescent="0.25">
      <c r="B31" s="30" t="s">
        <v>207</v>
      </c>
      <c r="C31" s="31" t="s">
        <v>235</v>
      </c>
      <c r="D31" s="32">
        <v>44359</v>
      </c>
      <c r="E31" s="31" t="s">
        <v>230</v>
      </c>
      <c r="F31" s="31" t="s">
        <v>231</v>
      </c>
      <c r="G31" s="33">
        <v>44417</v>
      </c>
      <c r="I31" s="39"/>
      <c r="J31" t="s">
        <v>239</v>
      </c>
      <c r="K31" t="s">
        <v>240</v>
      </c>
      <c r="L31" s="45">
        <v>43872</v>
      </c>
      <c r="M31" t="s">
        <v>241</v>
      </c>
      <c r="N31" t="s">
        <v>231</v>
      </c>
      <c r="O31">
        <v>75322</v>
      </c>
    </row>
    <row r="32" spans="2:15" x14ac:dyDescent="0.25">
      <c r="I32" s="39"/>
      <c r="J32" t="s">
        <v>242</v>
      </c>
      <c r="K32" t="s">
        <v>243</v>
      </c>
      <c r="L32" s="45">
        <v>43593</v>
      </c>
      <c r="M32" t="s">
        <v>230</v>
      </c>
      <c r="N32" t="s">
        <v>231</v>
      </c>
      <c r="O32">
        <v>46011</v>
      </c>
    </row>
    <row r="33" spans="9:15" x14ac:dyDescent="0.25">
      <c r="I33" s="39"/>
      <c r="J33" t="s">
        <v>207</v>
      </c>
      <c r="K33" t="s">
        <v>235</v>
      </c>
      <c r="L33" s="45">
        <v>44359</v>
      </c>
      <c r="M33" t="s">
        <v>230</v>
      </c>
      <c r="N33" t="s">
        <v>231</v>
      </c>
      <c r="O33">
        <v>44417</v>
      </c>
    </row>
  </sheetData>
  <pageMargins left="0.7" right="0.7" top="0.78740157499999996" bottom="0.78740157499999996" header="0.3" footer="0.3"/>
  <drawing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2E455F-74AA-4A11-894D-8685BB5323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12</vt:i4>
      </vt:variant>
    </vt:vector>
  </HeadingPairs>
  <TitlesOfParts>
    <vt:vector size="12" baseType="lpstr">
      <vt:lpstr>Úkol 1</vt:lpstr>
      <vt:lpstr>Úkol 2</vt:lpstr>
      <vt:lpstr>Úkol 3</vt:lpstr>
      <vt:lpstr>Úkol 4</vt:lpstr>
      <vt:lpstr>Úkol 5</vt:lpstr>
      <vt:lpstr>Úkol 6</vt:lpstr>
      <vt:lpstr>Úkol 7</vt:lpstr>
      <vt:lpstr>Úkol 8</vt:lpstr>
      <vt:lpstr>Úkol 9</vt:lpstr>
      <vt:lpstr>Úkol 10</vt:lpstr>
      <vt:lpstr>Úkol 11</vt:lpstr>
      <vt:lpstr>Úkol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Dědič</dc:creator>
  <cp:lastModifiedBy>Petra Zikmundová</cp:lastModifiedBy>
  <dcterms:created xsi:type="dcterms:W3CDTF">2024-09-16T11:28:16Z</dcterms:created>
  <dcterms:modified xsi:type="dcterms:W3CDTF">2024-10-08T11:13:19Z</dcterms:modified>
</cp:coreProperties>
</file>